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lucas_alves6_farmaciassaojoao_com_br/Documents/Documentos/ANTIGRAVITI/Dashboard Gerencial/"/>
    </mc:Choice>
  </mc:AlternateContent>
  <xr:revisionPtr revIDLastSave="3" documentId="8_{F36BC860-2983-4D5A-AB37-B7D63DC6575D}" xr6:coauthVersionLast="47" xr6:coauthVersionMax="47" xr10:uidLastSave="{6714E0C5-DBDB-4E26-B6A0-D95DB1B5271C}"/>
  <bookViews>
    <workbookView minimized="1" xWindow="6450" yWindow="4185" windowWidth="21600" windowHeight="11295" xr2:uid="{00000000-000D-0000-FFFF-FFFF00000000}"/>
  </bookViews>
  <sheets>
    <sheet name="METAS" sheetId="2" r:id="rId1"/>
    <sheet name="Metas Sessoes e TX conversa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2" i="5" l="1"/>
  <c r="W252" i="2"/>
  <c r="O249" i="2"/>
  <c r="W245" i="2"/>
  <c r="W246" i="2"/>
  <c r="W247" i="2"/>
  <c r="W248" i="2"/>
  <c r="W249" i="2"/>
  <c r="W250" i="2"/>
  <c r="W251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O245" i="2"/>
  <c r="O246" i="2"/>
  <c r="O247" i="2"/>
  <c r="O248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F245" i="5"/>
  <c r="F246" i="5"/>
  <c r="F247" i="5"/>
  <c r="F248" i="5"/>
  <c r="F249" i="5"/>
  <c r="F250" i="5"/>
  <c r="F251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D234" i="2"/>
  <c r="D235" i="2"/>
  <c r="D236" i="2"/>
  <c r="D237" i="2"/>
  <c r="D238" i="2"/>
  <c r="D239" i="2"/>
  <c r="D240" i="2"/>
  <c r="D241" i="2"/>
  <c r="D242" i="2"/>
  <c r="D243" i="2"/>
  <c r="D244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" i="2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83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D176" i="2"/>
  <c r="E176" i="2"/>
  <c r="D177" i="2"/>
  <c r="E177" i="2"/>
  <c r="D178" i="2"/>
  <c r="E178" i="2"/>
  <c r="D179" i="2"/>
  <c r="E179" i="2"/>
  <c r="D180" i="2"/>
  <c r="E180" i="2"/>
  <c r="D181" i="2"/>
  <c r="E181" i="2"/>
  <c r="D182" i="2"/>
  <c r="E182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S152" i="2" l="1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2" i="2"/>
  <c r="E3" i="2"/>
  <c r="J3" i="2"/>
  <c r="O3" i="2"/>
  <c r="E4" i="2"/>
  <c r="J4" i="2"/>
  <c r="O4" i="2"/>
  <c r="E5" i="2"/>
  <c r="J5" i="2"/>
  <c r="O5" i="2"/>
  <c r="E6" i="2"/>
  <c r="J6" i="2"/>
  <c r="O6" i="2"/>
  <c r="E7" i="2"/>
  <c r="J7" i="2"/>
  <c r="O7" i="2"/>
  <c r="E8" i="2"/>
  <c r="J8" i="2"/>
  <c r="O8" i="2"/>
  <c r="E9" i="2"/>
  <c r="J9" i="2"/>
  <c r="O9" i="2"/>
  <c r="E10" i="2"/>
  <c r="J10" i="2"/>
  <c r="O10" i="2"/>
  <c r="E11" i="2"/>
  <c r="J11" i="2"/>
  <c r="O11" i="2"/>
  <c r="E12" i="2"/>
  <c r="J12" i="2"/>
  <c r="O12" i="2"/>
  <c r="E13" i="2"/>
  <c r="J13" i="2"/>
  <c r="O13" i="2"/>
  <c r="E14" i="2"/>
  <c r="J14" i="2"/>
  <c r="O14" i="2"/>
  <c r="E15" i="2"/>
  <c r="J15" i="2"/>
  <c r="O15" i="2"/>
  <c r="E16" i="2"/>
  <c r="J16" i="2"/>
  <c r="O16" i="2"/>
  <c r="E17" i="2"/>
  <c r="J17" i="2"/>
  <c r="O17" i="2"/>
  <c r="E18" i="2"/>
  <c r="J18" i="2"/>
  <c r="O18" i="2"/>
  <c r="E19" i="2"/>
  <c r="J19" i="2"/>
  <c r="O19" i="2"/>
  <c r="E20" i="2"/>
  <c r="J20" i="2"/>
  <c r="O20" i="2"/>
  <c r="E21" i="2"/>
  <c r="J21" i="2"/>
  <c r="O21" i="2"/>
  <c r="E22" i="2"/>
  <c r="J22" i="2"/>
  <c r="O22" i="2"/>
  <c r="E23" i="2"/>
  <c r="J23" i="2"/>
  <c r="O23" i="2"/>
  <c r="E24" i="2"/>
  <c r="J24" i="2"/>
  <c r="O24" i="2"/>
  <c r="E25" i="2"/>
  <c r="J25" i="2"/>
  <c r="O25" i="2"/>
  <c r="E26" i="2"/>
  <c r="J26" i="2"/>
  <c r="O26" i="2"/>
  <c r="E27" i="2"/>
  <c r="J27" i="2"/>
  <c r="O27" i="2"/>
  <c r="E28" i="2"/>
  <c r="J28" i="2"/>
  <c r="O28" i="2"/>
  <c r="E29" i="2"/>
  <c r="J29" i="2"/>
  <c r="O29" i="2"/>
  <c r="E30" i="2"/>
  <c r="J30" i="2"/>
  <c r="O30" i="2"/>
  <c r="E31" i="2"/>
  <c r="J31" i="2"/>
  <c r="O31" i="2"/>
  <c r="E32" i="2"/>
  <c r="J32" i="2"/>
  <c r="O32" i="2"/>
  <c r="E33" i="2"/>
  <c r="J33" i="2"/>
  <c r="O33" i="2"/>
  <c r="E34" i="2"/>
  <c r="J34" i="2"/>
  <c r="O34" i="2"/>
  <c r="E35" i="2"/>
  <c r="J35" i="2"/>
  <c r="O35" i="2"/>
  <c r="E36" i="2"/>
  <c r="J36" i="2"/>
  <c r="O36" i="2"/>
  <c r="E37" i="2"/>
  <c r="J37" i="2"/>
  <c r="O37" i="2"/>
  <c r="E38" i="2"/>
  <c r="J38" i="2"/>
  <c r="O38" i="2"/>
  <c r="E39" i="2"/>
  <c r="J39" i="2"/>
  <c r="O39" i="2"/>
  <c r="E40" i="2"/>
  <c r="J40" i="2"/>
  <c r="O40" i="2"/>
  <c r="E41" i="2"/>
  <c r="J41" i="2"/>
  <c r="O41" i="2"/>
  <c r="E42" i="2"/>
  <c r="J42" i="2"/>
  <c r="O42" i="2"/>
  <c r="E43" i="2"/>
  <c r="J43" i="2"/>
  <c r="O43" i="2"/>
  <c r="E44" i="2"/>
  <c r="J44" i="2"/>
  <c r="O44" i="2"/>
  <c r="E45" i="2"/>
  <c r="J45" i="2"/>
  <c r="O45" i="2"/>
  <c r="E46" i="2"/>
  <c r="J46" i="2"/>
  <c r="O46" i="2"/>
  <c r="E47" i="2"/>
  <c r="J47" i="2"/>
  <c r="O47" i="2"/>
  <c r="E48" i="2"/>
  <c r="J48" i="2"/>
  <c r="O48" i="2"/>
  <c r="E49" i="2"/>
  <c r="J49" i="2"/>
  <c r="O49" i="2"/>
  <c r="E50" i="2"/>
  <c r="J50" i="2"/>
  <c r="O50" i="2"/>
  <c r="E51" i="2"/>
  <c r="J51" i="2"/>
  <c r="O51" i="2"/>
  <c r="E52" i="2"/>
  <c r="J52" i="2"/>
  <c r="O52" i="2"/>
  <c r="E53" i="2"/>
  <c r="J53" i="2"/>
  <c r="O53" i="2"/>
  <c r="E54" i="2"/>
  <c r="J54" i="2"/>
  <c r="O54" i="2"/>
  <c r="E55" i="2"/>
  <c r="J55" i="2"/>
  <c r="O55" i="2"/>
  <c r="E56" i="2"/>
  <c r="J56" i="2"/>
  <c r="O56" i="2"/>
  <c r="E57" i="2"/>
  <c r="J57" i="2"/>
  <c r="O57" i="2"/>
  <c r="E58" i="2"/>
  <c r="J58" i="2"/>
  <c r="O58" i="2"/>
  <c r="E59" i="2"/>
  <c r="J59" i="2"/>
  <c r="O59" i="2"/>
  <c r="E60" i="2"/>
  <c r="J60" i="2"/>
  <c r="O60" i="2"/>
  <c r="E61" i="2"/>
  <c r="J61" i="2"/>
  <c r="O61" i="2"/>
  <c r="E62" i="2"/>
  <c r="J62" i="2"/>
  <c r="O62" i="2"/>
  <c r="E63" i="2"/>
  <c r="J63" i="2"/>
  <c r="O63" i="2"/>
  <c r="E64" i="2"/>
  <c r="J64" i="2"/>
  <c r="O64" i="2"/>
  <c r="E65" i="2"/>
  <c r="J65" i="2"/>
  <c r="O65" i="2"/>
  <c r="E66" i="2"/>
  <c r="J66" i="2"/>
  <c r="O66" i="2"/>
  <c r="E67" i="2"/>
  <c r="J67" i="2"/>
  <c r="O67" i="2"/>
  <c r="E68" i="2"/>
  <c r="J68" i="2"/>
  <c r="O68" i="2"/>
  <c r="E69" i="2"/>
  <c r="J69" i="2"/>
  <c r="O69" i="2"/>
  <c r="E70" i="2"/>
  <c r="J70" i="2"/>
  <c r="O70" i="2"/>
  <c r="E71" i="2"/>
  <c r="J71" i="2"/>
  <c r="O71" i="2"/>
  <c r="E72" i="2"/>
  <c r="J72" i="2"/>
  <c r="O72" i="2"/>
  <c r="E73" i="2"/>
  <c r="J73" i="2"/>
  <c r="O73" i="2"/>
  <c r="E74" i="2"/>
  <c r="J74" i="2"/>
  <c r="O74" i="2"/>
  <c r="E75" i="2"/>
  <c r="J75" i="2"/>
  <c r="O75" i="2"/>
  <c r="E76" i="2"/>
  <c r="J76" i="2"/>
  <c r="O76" i="2"/>
  <c r="E77" i="2"/>
  <c r="J77" i="2"/>
  <c r="O77" i="2"/>
  <c r="E78" i="2"/>
  <c r="J78" i="2"/>
  <c r="O78" i="2"/>
  <c r="E79" i="2"/>
  <c r="J79" i="2"/>
  <c r="O79" i="2"/>
  <c r="E80" i="2"/>
  <c r="J80" i="2"/>
  <c r="O80" i="2"/>
  <c r="E81" i="2"/>
  <c r="J81" i="2"/>
  <c r="O81" i="2"/>
  <c r="E82" i="2"/>
  <c r="J82" i="2"/>
  <c r="O82" i="2"/>
  <c r="E83" i="2"/>
  <c r="J83" i="2"/>
  <c r="O83" i="2"/>
  <c r="E84" i="2"/>
  <c r="J84" i="2"/>
  <c r="O84" i="2"/>
  <c r="E85" i="2"/>
  <c r="J85" i="2"/>
  <c r="O85" i="2"/>
  <c r="E86" i="2"/>
  <c r="J86" i="2"/>
  <c r="O86" i="2"/>
  <c r="E87" i="2"/>
  <c r="J87" i="2"/>
  <c r="O87" i="2"/>
  <c r="E88" i="2"/>
  <c r="J88" i="2"/>
  <c r="O88" i="2"/>
  <c r="E89" i="2"/>
  <c r="J89" i="2"/>
  <c r="O89" i="2"/>
  <c r="E90" i="2"/>
  <c r="J90" i="2"/>
  <c r="O90" i="2"/>
  <c r="E91" i="2"/>
  <c r="J91" i="2"/>
  <c r="O91" i="2"/>
  <c r="E92" i="2"/>
  <c r="J92" i="2"/>
  <c r="O92" i="2"/>
  <c r="E93" i="2"/>
  <c r="J93" i="2"/>
  <c r="O93" i="2"/>
  <c r="E94" i="2"/>
  <c r="J94" i="2"/>
  <c r="O94" i="2"/>
  <c r="E95" i="2"/>
  <c r="J95" i="2"/>
  <c r="O95" i="2"/>
  <c r="E96" i="2"/>
  <c r="J96" i="2"/>
  <c r="O96" i="2"/>
  <c r="E97" i="2"/>
  <c r="J97" i="2"/>
  <c r="O97" i="2"/>
  <c r="E98" i="2"/>
  <c r="J98" i="2"/>
  <c r="O98" i="2"/>
  <c r="E99" i="2"/>
  <c r="J99" i="2"/>
  <c r="O99" i="2"/>
  <c r="E100" i="2"/>
  <c r="J100" i="2"/>
  <c r="O100" i="2"/>
  <c r="E101" i="2"/>
  <c r="J101" i="2"/>
  <c r="O101" i="2"/>
  <c r="E102" i="2"/>
  <c r="J102" i="2"/>
  <c r="O102" i="2"/>
  <c r="E103" i="2"/>
  <c r="J103" i="2"/>
  <c r="O103" i="2"/>
  <c r="E104" i="2"/>
  <c r="J104" i="2"/>
  <c r="O104" i="2"/>
  <c r="E105" i="2"/>
  <c r="J105" i="2"/>
  <c r="O105" i="2"/>
  <c r="E106" i="2"/>
  <c r="J106" i="2"/>
  <c r="O106" i="2"/>
  <c r="E107" i="2"/>
  <c r="J107" i="2"/>
  <c r="O107" i="2"/>
  <c r="E108" i="2"/>
  <c r="J108" i="2"/>
  <c r="O108" i="2"/>
  <c r="E109" i="2"/>
  <c r="J109" i="2"/>
  <c r="O109" i="2"/>
  <c r="E110" i="2"/>
  <c r="J110" i="2"/>
  <c r="O110" i="2"/>
  <c r="E111" i="2"/>
  <c r="J111" i="2"/>
  <c r="O111" i="2"/>
  <c r="E112" i="2"/>
  <c r="J112" i="2"/>
  <c r="O112" i="2"/>
  <c r="E113" i="2"/>
  <c r="J113" i="2"/>
  <c r="O113" i="2"/>
  <c r="E114" i="2"/>
  <c r="J114" i="2"/>
  <c r="O114" i="2"/>
  <c r="E115" i="2"/>
  <c r="J115" i="2"/>
  <c r="O115" i="2"/>
  <c r="E116" i="2"/>
  <c r="J116" i="2"/>
  <c r="O116" i="2"/>
  <c r="E117" i="2"/>
  <c r="J117" i="2"/>
  <c r="O117" i="2"/>
  <c r="E118" i="2"/>
  <c r="J118" i="2"/>
  <c r="O118" i="2"/>
  <c r="E119" i="2"/>
  <c r="J119" i="2"/>
  <c r="O119" i="2"/>
  <c r="E120" i="2"/>
  <c r="J120" i="2"/>
  <c r="O120" i="2"/>
  <c r="E121" i="2"/>
  <c r="J121" i="2"/>
  <c r="O121" i="2"/>
  <c r="E122" i="2"/>
  <c r="J122" i="2"/>
  <c r="O122" i="2"/>
  <c r="E123" i="2"/>
  <c r="J123" i="2"/>
  <c r="O123" i="2"/>
  <c r="E124" i="2"/>
  <c r="J124" i="2"/>
  <c r="O124" i="2"/>
  <c r="E125" i="2"/>
  <c r="J125" i="2"/>
  <c r="O125" i="2"/>
  <c r="E126" i="2"/>
  <c r="J126" i="2"/>
  <c r="O126" i="2"/>
  <c r="E127" i="2"/>
  <c r="J127" i="2"/>
  <c r="O127" i="2"/>
  <c r="E128" i="2"/>
  <c r="J128" i="2"/>
  <c r="O128" i="2"/>
  <c r="E129" i="2"/>
  <c r="J129" i="2"/>
  <c r="O129" i="2"/>
  <c r="E130" i="2"/>
  <c r="J130" i="2"/>
  <c r="O130" i="2"/>
  <c r="E131" i="2"/>
  <c r="J131" i="2"/>
  <c r="O131" i="2"/>
  <c r="E132" i="2"/>
  <c r="J132" i="2"/>
  <c r="O132" i="2"/>
  <c r="E133" i="2"/>
  <c r="J133" i="2"/>
  <c r="O133" i="2"/>
  <c r="E134" i="2"/>
  <c r="J134" i="2"/>
  <c r="O134" i="2"/>
  <c r="E135" i="2"/>
  <c r="J135" i="2"/>
  <c r="O135" i="2"/>
  <c r="E136" i="2"/>
  <c r="J136" i="2"/>
  <c r="O136" i="2"/>
  <c r="E137" i="2"/>
  <c r="J137" i="2"/>
  <c r="O137" i="2"/>
  <c r="E138" i="2"/>
  <c r="J138" i="2"/>
  <c r="O138" i="2"/>
  <c r="E139" i="2"/>
  <c r="J139" i="2"/>
  <c r="O139" i="2"/>
  <c r="E140" i="2"/>
  <c r="J140" i="2"/>
  <c r="O140" i="2"/>
  <c r="E141" i="2"/>
  <c r="J141" i="2"/>
  <c r="O141" i="2"/>
  <c r="E142" i="2"/>
  <c r="J142" i="2"/>
  <c r="O142" i="2"/>
  <c r="E143" i="2"/>
  <c r="J143" i="2"/>
  <c r="O143" i="2"/>
  <c r="E144" i="2"/>
  <c r="J144" i="2"/>
  <c r="O144" i="2"/>
  <c r="E145" i="2"/>
  <c r="J145" i="2"/>
  <c r="O145" i="2"/>
  <c r="E146" i="2"/>
  <c r="J146" i="2"/>
  <c r="O146" i="2"/>
  <c r="E147" i="2"/>
  <c r="J147" i="2"/>
  <c r="O147" i="2"/>
  <c r="E148" i="2"/>
  <c r="J148" i="2"/>
  <c r="O148" i="2"/>
  <c r="E149" i="2"/>
  <c r="J149" i="2"/>
  <c r="O149" i="2"/>
  <c r="E150" i="2"/>
  <c r="J150" i="2"/>
  <c r="O150" i="2"/>
  <c r="E151" i="2"/>
  <c r="J151" i="2"/>
  <c r="O151" i="2"/>
  <c r="E152" i="2"/>
  <c r="J152" i="2"/>
  <c r="O152" i="2"/>
  <c r="O2" i="2"/>
  <c r="J2" i="2"/>
  <c r="E2" i="2"/>
</calcChain>
</file>

<file path=xl/sharedStrings.xml><?xml version="1.0" encoding="utf-8"?>
<sst xmlns="http://schemas.openxmlformats.org/spreadsheetml/2006/main" count="28" uniqueCount="26">
  <si>
    <t>DATA</t>
  </si>
  <si>
    <t>Meta APP Venda</t>
  </si>
  <si>
    <t>Meta APP Cupons</t>
  </si>
  <si>
    <t>Meta MKP Venda</t>
  </si>
  <si>
    <t>Meta MKP Cupons</t>
  </si>
  <si>
    <t>Meta SITE Venda</t>
  </si>
  <si>
    <t>Meta Site Cupons</t>
  </si>
  <si>
    <t>Meta APP TKM</t>
  </si>
  <si>
    <t>Meta APP Margem $</t>
  </si>
  <si>
    <t>Meta Margem %</t>
  </si>
  <si>
    <t>Meta MKP TKM</t>
  </si>
  <si>
    <t>Meta MKP Margem $</t>
  </si>
  <si>
    <t>Meta Ifood Margem %</t>
  </si>
  <si>
    <t>Meta Site TKM</t>
  </si>
  <si>
    <t>Meta SITE Margem $</t>
  </si>
  <si>
    <t>Meta SITE Margem %</t>
  </si>
  <si>
    <t>Meta Televendas Venda</t>
  </si>
  <si>
    <t>Meta Televendas Cupons</t>
  </si>
  <si>
    <t>Meta Televendas TKM</t>
  </si>
  <si>
    <t>Meta Televendas Margem $</t>
  </si>
  <si>
    <t>Meta Televendas Margem %</t>
  </si>
  <si>
    <t>Receita site+app</t>
  </si>
  <si>
    <t>Meta Sessoes APP</t>
  </si>
  <si>
    <t>Meta Taxa Conv. APP</t>
  </si>
  <si>
    <t>Meta Sessoes Site</t>
  </si>
  <si>
    <t>Site+App Sessões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</si>
</sst>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enorite"/>
    </font>
    <font>
      <sz val="9"/>
      <color theme="1"/>
      <name val="Tenorite"/>
    </font>
    <font>
      <sz val="10"/>
      <color rgb="FF222222"/>
      <name val="Aptos"/>
    </font>
    <font>
      <b/>
      <sz val="10"/>
      <color rgb="FFFFFFFF"/>
      <name val="Aptos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F6B5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 style="thin">
        <color rgb="FFB4C6D7"/>
      </right>
      <top/>
      <bottom style="medium">
        <color rgb="FF17365D"/>
      </bottom>
      <diagonal/>
    </border>
    <border>
      <left/>
      <right style="thin">
        <color rgb="FFB4C6D7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4" borderId="0" xfId="0" applyNumberFormat="1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164" fontId="3" fillId="5" borderId="0" xfId="1" applyNumberFormat="1" applyFont="1" applyFill="1" applyAlignment="1">
      <alignment horizontal="center"/>
    </xf>
    <xf numFmtId="10" fontId="3" fillId="5" borderId="0" xfId="0" applyNumberFormat="1" applyFont="1" applyFill="1" applyAlignment="1">
      <alignment horizontal="center"/>
    </xf>
    <xf numFmtId="10" fontId="3" fillId="0" borderId="0" xfId="2" applyNumberFormat="1" applyFont="1" applyAlignment="1">
      <alignment horizontal="center"/>
    </xf>
    <xf numFmtId="14" fontId="3" fillId="6" borderId="0" xfId="0" applyNumberFormat="1" applyFont="1" applyFill="1" applyAlignment="1">
      <alignment horizontal="center"/>
    </xf>
    <xf numFmtId="164" fontId="3" fillId="6" borderId="0" xfId="1" applyNumberFormat="1" applyFont="1" applyFill="1" applyAlignment="1">
      <alignment horizontal="center"/>
    </xf>
    <xf numFmtId="10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0" fontId="3" fillId="6" borderId="0" xfId="2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3" fontId="4" fillId="7" borderId="0" xfId="1" applyNumberFormat="1" applyFont="1" applyFill="1" applyAlignment="1">
      <alignment horizontal="right" vertical="center"/>
    </xf>
    <xf numFmtId="3" fontId="4" fillId="7" borderId="0" xfId="0" applyNumberFormat="1" applyFont="1" applyFill="1" applyAlignment="1">
      <alignment horizontal="right" vertical="center"/>
    </xf>
    <xf numFmtId="4" fontId="4" fillId="7" borderId="0" xfId="1" applyNumberFormat="1" applyFont="1" applyFill="1" applyAlignment="1">
      <alignment horizontal="right" vertical="center"/>
    </xf>
    <xf numFmtId="4" fontId="4" fillId="7" borderId="0" xfId="0" applyNumberFormat="1" applyFont="1" applyFill="1" applyAlignment="1">
      <alignment horizontal="right" vertical="center"/>
    </xf>
    <xf numFmtId="0" fontId="5" fillId="8" borderId="1" xfId="0" applyFont="1" applyFill="1" applyBorder="1" applyAlignment="1">
      <alignment horizontal="center" vertical="center" wrapText="1"/>
    </xf>
    <xf numFmtId="4" fontId="5" fillId="8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4" fontId="5" fillId="8" borderId="2" xfId="0" applyNumberFormat="1" applyFont="1" applyFill="1" applyBorder="1" applyAlignment="1">
      <alignment horizontal="center" vertical="center" wrapText="1"/>
    </xf>
    <xf numFmtId="165" fontId="4" fillId="7" borderId="3" xfId="0" applyNumberFormat="1" applyFont="1" applyFill="1" applyBorder="1" applyAlignment="1">
      <alignment horizontal="right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1114-C5DF-4087-9262-D50F6A69A4FE}">
  <dimension ref="A1:Y282"/>
  <sheetViews>
    <sheetView tabSelected="1" workbookViewId="0">
      <pane xSplit="1" ySplit="1" topLeftCell="B256" activePane="bottomRight" state="frozen"/>
      <selection pane="topRight" activeCell="B1" sqref="B1"/>
      <selection pane="bottomLeft" activeCell="A2" sqref="A2"/>
      <selection pane="bottomRight" activeCell="A253" sqref="A253"/>
    </sheetView>
  </sheetViews>
  <sheetFormatPr defaultRowHeight="15" x14ac:dyDescent="0.25"/>
  <cols>
    <col min="1" max="1" width="13.7109375" style="1" customWidth="1"/>
    <col min="2" max="2" width="17.140625" style="1" customWidth="1"/>
    <col min="3" max="3" width="14.42578125" style="1" customWidth="1"/>
    <col min="4" max="4" width="13.7109375" style="1" customWidth="1"/>
    <col min="5" max="5" width="17.85546875" style="1" customWidth="1"/>
    <col min="6" max="6" width="14.42578125" style="1" customWidth="1"/>
    <col min="7" max="7" width="17.140625" style="1" customWidth="1"/>
    <col min="8" max="8" width="14.42578125" style="1" customWidth="1"/>
    <col min="9" max="9" width="13.7109375" style="1" customWidth="1"/>
    <col min="10" max="10" width="17.85546875" style="1" customWidth="1"/>
    <col min="11" max="11" width="16" style="1" customWidth="1"/>
    <col min="12" max="12" width="17.140625" style="1" customWidth="1"/>
    <col min="13" max="13" width="14.42578125" style="1" customWidth="1"/>
    <col min="14" max="14" width="13.7109375" style="1" customWidth="1"/>
    <col min="15" max="15" width="17.85546875" style="1" customWidth="1"/>
    <col min="16" max="16" width="15.28515625" style="1" customWidth="1"/>
    <col min="17" max="17" width="19.85546875" style="1" customWidth="1"/>
    <col min="18" max="19" width="17.5703125" style="1" customWidth="1"/>
    <col min="20" max="20" width="20.5703125" style="1" customWidth="1"/>
    <col min="21" max="21" width="17.5703125" style="1" customWidth="1"/>
    <col min="22" max="22" width="2.7109375" style="1" customWidth="1"/>
    <col min="23" max="23" width="20.5703125" style="1" customWidth="1"/>
    <col min="26" max="16384" width="9.140625" style="1"/>
  </cols>
  <sheetData>
    <row r="1" spans="1:23" ht="36" customHeight="1" x14ac:dyDescent="0.25">
      <c r="A1" s="27" t="s">
        <v>0</v>
      </c>
      <c r="B1" s="28" t="s">
        <v>1</v>
      </c>
      <c r="C1" s="27" t="s">
        <v>2</v>
      </c>
      <c r="D1" s="27" t="s">
        <v>7</v>
      </c>
      <c r="E1" s="28" t="s">
        <v>8</v>
      </c>
      <c r="F1" s="31" t="s">
        <v>9</v>
      </c>
      <c r="G1" s="28" t="s">
        <v>3</v>
      </c>
      <c r="H1" s="27" t="s">
        <v>4</v>
      </c>
      <c r="I1" s="27" t="s">
        <v>10</v>
      </c>
      <c r="J1" s="28" t="s">
        <v>11</v>
      </c>
      <c r="K1" s="31" t="s">
        <v>12</v>
      </c>
      <c r="L1" s="28" t="s">
        <v>5</v>
      </c>
      <c r="M1" s="27" t="s">
        <v>6</v>
      </c>
      <c r="N1" s="27" t="s">
        <v>13</v>
      </c>
      <c r="O1" s="28" t="s">
        <v>14</v>
      </c>
      <c r="P1" s="31" t="s">
        <v>15</v>
      </c>
      <c r="Q1" s="28" t="s">
        <v>16</v>
      </c>
      <c r="R1" s="27" t="s">
        <v>17</v>
      </c>
      <c r="S1" s="27" t="s">
        <v>18</v>
      </c>
      <c r="T1" s="28" t="s">
        <v>19</v>
      </c>
      <c r="U1" s="31" t="s">
        <v>20</v>
      </c>
      <c r="V1" s="29"/>
      <c r="W1" s="30" t="s">
        <v>21</v>
      </c>
    </row>
    <row r="2" spans="1:23" ht="18" customHeight="1" x14ac:dyDescent="0.25">
      <c r="A2" s="21">
        <v>46023</v>
      </c>
      <c r="B2" s="23">
        <v>229633.98087561101</v>
      </c>
      <c r="C2" s="23">
        <v>1435.2961293601354</v>
      </c>
      <c r="D2" s="25">
        <f>IFERROR(B2/C2,0)</f>
        <v>159.99066407152048</v>
      </c>
      <c r="E2" s="23">
        <f t="shared" ref="E2:E33" si="0">F2*C2</f>
        <v>308.58866781242909</v>
      </c>
      <c r="F2" s="32">
        <v>0.215</v>
      </c>
      <c r="G2" s="23">
        <v>118074.46</v>
      </c>
      <c r="H2" s="23">
        <v>1470.53</v>
      </c>
      <c r="I2" s="25">
        <f>IFERROR(G2/H2,0)</f>
        <v>80.293812434972438</v>
      </c>
      <c r="J2" s="23">
        <f>K2*H2</f>
        <v>463.21695</v>
      </c>
      <c r="K2" s="32">
        <v>0.315</v>
      </c>
      <c r="L2" s="23">
        <v>148692.72297651926</v>
      </c>
      <c r="M2" s="23">
        <v>871.04761718541192</v>
      </c>
      <c r="N2" s="25">
        <f>IFERROR(L2/M2,0)</f>
        <v>170.70561935177008</v>
      </c>
      <c r="O2" s="23">
        <f>P2*M2</f>
        <v>187.27523769486356</v>
      </c>
      <c r="P2" s="32">
        <v>0.215</v>
      </c>
      <c r="Q2" s="23">
        <v>7102.3791575898231</v>
      </c>
      <c r="R2" s="23">
        <v>62.240516017678814</v>
      </c>
      <c r="S2" s="25">
        <f>Q2/R2</f>
        <v>114.11182959300115</v>
      </c>
      <c r="T2" s="24"/>
      <c r="U2" s="32"/>
      <c r="V2" s="22"/>
      <c r="W2" s="24">
        <f>SUM(B2,L2)</f>
        <v>378326.70385213027</v>
      </c>
    </row>
    <row r="3" spans="1:23" ht="18" customHeight="1" x14ac:dyDescent="0.25">
      <c r="A3" s="21">
        <v>46024</v>
      </c>
      <c r="B3" s="23">
        <v>540020.98887561099</v>
      </c>
      <c r="C3" s="23">
        <v>3375.3281293601353</v>
      </c>
      <c r="D3" s="25">
        <f t="shared" ref="D3:D66" si="1">IFERROR(B3/C3,0)</f>
        <v>159.99066407152046</v>
      </c>
      <c r="E3" s="23">
        <f t="shared" si="0"/>
        <v>725.69554781242914</v>
      </c>
      <c r="F3" s="32">
        <v>0.215</v>
      </c>
      <c r="G3" s="23">
        <v>338086.5371333331</v>
      </c>
      <c r="H3" s="23">
        <v>4210.6175666666641</v>
      </c>
      <c r="I3" s="25">
        <f t="shared" ref="I3:I66" si="2">IFERROR(G3/H3,0)</f>
        <v>80.293812434972423</v>
      </c>
      <c r="J3" s="23">
        <f t="shared" ref="J3:J66" si="3">K3*H3</f>
        <v>1326.3445334999992</v>
      </c>
      <c r="K3" s="32">
        <v>0.315</v>
      </c>
      <c r="L3" s="23">
        <v>349674.69097651925</v>
      </c>
      <c r="M3" s="23">
        <v>2048.4076171854117</v>
      </c>
      <c r="N3" s="25">
        <f t="shared" ref="N3:N66" si="4">IFERROR(L3/M3,0)</f>
        <v>170.70561935177008</v>
      </c>
      <c r="O3" s="23">
        <f t="shared" ref="O3:O66" si="5">P3*M3</f>
        <v>440.40763769486352</v>
      </c>
      <c r="P3" s="32">
        <v>0.215</v>
      </c>
      <c r="Q3" s="23">
        <v>16702.379157589821</v>
      </c>
      <c r="R3" s="23">
        <v>146.36851601767881</v>
      </c>
      <c r="S3" s="25">
        <f t="shared" ref="S3:S66" si="6">Q3/R3</f>
        <v>114.11182959300113</v>
      </c>
      <c r="T3" s="24"/>
      <c r="U3" s="32"/>
      <c r="V3" s="22"/>
      <c r="W3" s="24">
        <f t="shared" ref="W3:W66" si="7">SUM(B3,L3)</f>
        <v>889695.67985213024</v>
      </c>
    </row>
    <row r="4" spans="1:23" ht="18" customHeight="1" x14ac:dyDescent="0.25">
      <c r="A4" s="21">
        <v>46025</v>
      </c>
      <c r="B4" s="23">
        <v>520621.80087561102</v>
      </c>
      <c r="C4" s="23">
        <v>3254.0761293601354</v>
      </c>
      <c r="D4" s="25">
        <f t="shared" si="1"/>
        <v>159.99066407152048</v>
      </c>
      <c r="E4" s="23">
        <f t="shared" si="0"/>
        <v>699.62636781242907</v>
      </c>
      <c r="F4" s="32">
        <v>0.215</v>
      </c>
      <c r="G4" s="23">
        <v>420738.65913333313</v>
      </c>
      <c r="H4" s="23">
        <v>5239.9885666666642</v>
      </c>
      <c r="I4" s="25">
        <f t="shared" si="2"/>
        <v>80.293812434972423</v>
      </c>
      <c r="J4" s="23">
        <f t="shared" si="3"/>
        <v>1650.5963984999992</v>
      </c>
      <c r="K4" s="32">
        <v>0.315</v>
      </c>
      <c r="L4" s="23">
        <v>337113.31797651929</v>
      </c>
      <c r="M4" s="23">
        <v>1974.8226171854119</v>
      </c>
      <c r="N4" s="25">
        <f t="shared" si="4"/>
        <v>170.70561935177008</v>
      </c>
      <c r="O4" s="23">
        <f t="shared" si="5"/>
        <v>424.58686269486356</v>
      </c>
      <c r="P4" s="32">
        <v>0.215</v>
      </c>
      <c r="Q4" s="23">
        <v>16102.379157589823</v>
      </c>
      <c r="R4" s="23">
        <v>141.11051601767883</v>
      </c>
      <c r="S4" s="25">
        <f t="shared" si="6"/>
        <v>114.11182959300113</v>
      </c>
      <c r="T4" s="24"/>
      <c r="U4" s="32"/>
      <c r="V4" s="22"/>
      <c r="W4" s="24">
        <f t="shared" si="7"/>
        <v>857735.11885213037</v>
      </c>
    </row>
    <row r="5" spans="1:23" ht="18" customHeight="1" x14ac:dyDescent="0.25">
      <c r="A5" s="21">
        <v>46026</v>
      </c>
      <c r="B5" s="23">
        <v>443025.04887561104</v>
      </c>
      <c r="C5" s="23">
        <v>2769.0681293601356</v>
      </c>
      <c r="D5" s="25">
        <f t="shared" si="1"/>
        <v>159.99066407152048</v>
      </c>
      <c r="E5" s="23">
        <f t="shared" si="0"/>
        <v>595.34964781242911</v>
      </c>
      <c r="F5" s="32">
        <v>0.215</v>
      </c>
      <c r="G5" s="23">
        <v>373508.87513333309</v>
      </c>
      <c r="H5" s="23">
        <v>4651.7765666666637</v>
      </c>
      <c r="I5" s="25">
        <f t="shared" si="2"/>
        <v>80.293812434972423</v>
      </c>
      <c r="J5" s="23">
        <f t="shared" si="3"/>
        <v>1465.309618499999</v>
      </c>
      <c r="K5" s="32">
        <v>0.315</v>
      </c>
      <c r="L5" s="23">
        <v>286867.82597651926</v>
      </c>
      <c r="M5" s="23">
        <v>1680.482617185412</v>
      </c>
      <c r="N5" s="25">
        <f t="shared" si="4"/>
        <v>170.70561935177005</v>
      </c>
      <c r="O5" s="23">
        <f t="shared" si="5"/>
        <v>361.30376269486356</v>
      </c>
      <c r="P5" s="32">
        <v>0.215</v>
      </c>
      <c r="Q5" s="23">
        <v>13702.379157589823</v>
      </c>
      <c r="R5" s="23">
        <v>120.07851601767882</v>
      </c>
      <c r="S5" s="25">
        <f t="shared" si="6"/>
        <v>114.11182959300113</v>
      </c>
      <c r="T5" s="24"/>
      <c r="U5" s="32"/>
      <c r="V5" s="22"/>
      <c r="W5" s="24">
        <f t="shared" si="7"/>
        <v>729892.87485213031</v>
      </c>
    </row>
    <row r="6" spans="1:23" ht="18" customHeight="1" x14ac:dyDescent="0.25">
      <c r="A6" s="21">
        <v>46027</v>
      </c>
      <c r="B6" s="23">
        <v>869807.18487561098</v>
      </c>
      <c r="C6" s="23">
        <v>5436.6121293601354</v>
      </c>
      <c r="D6" s="25">
        <f t="shared" si="1"/>
        <v>159.99066407152046</v>
      </c>
      <c r="E6" s="23">
        <f t="shared" si="0"/>
        <v>1168.8716078124291</v>
      </c>
      <c r="F6" s="32">
        <v>0.215</v>
      </c>
      <c r="G6" s="23">
        <v>397123.76713333308</v>
      </c>
      <c r="H6" s="23">
        <v>4945.8825666666635</v>
      </c>
      <c r="I6" s="25">
        <f t="shared" si="2"/>
        <v>80.293812434972423</v>
      </c>
      <c r="J6" s="23">
        <f t="shared" si="3"/>
        <v>1557.953008499999</v>
      </c>
      <c r="K6" s="32">
        <v>0.315</v>
      </c>
      <c r="L6" s="23">
        <v>563218.03197651927</v>
      </c>
      <c r="M6" s="23">
        <v>3299.3526171854119</v>
      </c>
      <c r="N6" s="25">
        <f t="shared" si="4"/>
        <v>170.70561935177008</v>
      </c>
      <c r="O6" s="23">
        <f t="shared" si="5"/>
        <v>709.36081269486351</v>
      </c>
      <c r="P6" s="32">
        <v>0.215</v>
      </c>
      <c r="Q6" s="23">
        <v>26902.379157589821</v>
      </c>
      <c r="R6" s="23">
        <v>235.75451601767881</v>
      </c>
      <c r="S6" s="25">
        <f t="shared" si="6"/>
        <v>114.11182959300113</v>
      </c>
      <c r="T6" s="24"/>
      <c r="U6" s="32"/>
      <c r="V6" s="22"/>
      <c r="W6" s="24">
        <f t="shared" si="7"/>
        <v>1433025.2168521304</v>
      </c>
    </row>
    <row r="7" spans="1:23" ht="18" customHeight="1" x14ac:dyDescent="0.25">
      <c r="A7" s="21">
        <v>46028</v>
      </c>
      <c r="B7" s="23">
        <v>831008.80887561105</v>
      </c>
      <c r="C7" s="23">
        <v>5194.1081293601364</v>
      </c>
      <c r="D7" s="25">
        <f t="shared" si="1"/>
        <v>159.99066407152046</v>
      </c>
      <c r="E7" s="23">
        <f t="shared" si="0"/>
        <v>1116.7332478124292</v>
      </c>
      <c r="F7" s="32">
        <v>0.215</v>
      </c>
      <c r="G7" s="23">
        <v>420738.65913333313</v>
      </c>
      <c r="H7" s="23">
        <v>5239.9885666666642</v>
      </c>
      <c r="I7" s="25">
        <f t="shared" si="2"/>
        <v>80.293812434972423</v>
      </c>
      <c r="J7" s="23">
        <f t="shared" si="3"/>
        <v>1650.5963984999992</v>
      </c>
      <c r="K7" s="32">
        <v>0.315</v>
      </c>
      <c r="L7" s="23">
        <v>538095.28597651934</v>
      </c>
      <c r="M7" s="23">
        <v>3152.1826171854123</v>
      </c>
      <c r="N7" s="25">
        <f t="shared" si="4"/>
        <v>170.70561935177008</v>
      </c>
      <c r="O7" s="23">
        <f t="shared" si="5"/>
        <v>677.71926269486357</v>
      </c>
      <c r="P7" s="32">
        <v>0.215</v>
      </c>
      <c r="Q7" s="23">
        <v>25702.379157589825</v>
      </c>
      <c r="R7" s="23">
        <v>225.23851601767885</v>
      </c>
      <c r="S7" s="25">
        <f t="shared" si="6"/>
        <v>114.11182959300113</v>
      </c>
      <c r="T7" s="24"/>
      <c r="U7" s="32"/>
      <c r="V7" s="22"/>
      <c r="W7" s="24">
        <f t="shared" si="7"/>
        <v>1369104.0948521304</v>
      </c>
    </row>
    <row r="8" spans="1:23" ht="18" customHeight="1" x14ac:dyDescent="0.25">
      <c r="A8" s="21">
        <v>46029</v>
      </c>
      <c r="B8" s="23">
        <v>928004.74887561111</v>
      </c>
      <c r="C8" s="23">
        <v>5800.3681293601358</v>
      </c>
      <c r="D8" s="25">
        <f t="shared" si="1"/>
        <v>159.99066407152048</v>
      </c>
      <c r="E8" s="23">
        <f t="shared" si="0"/>
        <v>1247.0791478124293</v>
      </c>
      <c r="F8" s="32">
        <v>0.215</v>
      </c>
      <c r="G8" s="23">
        <v>456160.99713333306</v>
      </c>
      <c r="H8" s="23">
        <v>5681.1475666666638</v>
      </c>
      <c r="I8" s="25">
        <f t="shared" si="2"/>
        <v>80.293812434972423</v>
      </c>
      <c r="J8" s="23">
        <f t="shared" si="3"/>
        <v>1789.5614834999992</v>
      </c>
      <c r="K8" s="32">
        <v>0.315</v>
      </c>
      <c r="L8" s="23">
        <v>600902.15097651933</v>
      </c>
      <c r="M8" s="23">
        <v>3520.107617185412</v>
      </c>
      <c r="N8" s="25">
        <f t="shared" si="4"/>
        <v>170.70561935177008</v>
      </c>
      <c r="O8" s="23">
        <f t="shared" si="5"/>
        <v>756.82313769486359</v>
      </c>
      <c r="P8" s="32">
        <v>0.215</v>
      </c>
      <c r="Q8" s="23">
        <v>28702.379157589825</v>
      </c>
      <c r="R8" s="23">
        <v>251.52851601767884</v>
      </c>
      <c r="S8" s="25">
        <f t="shared" si="6"/>
        <v>114.11182959300113</v>
      </c>
      <c r="T8" s="24"/>
      <c r="U8" s="32"/>
      <c r="V8" s="22"/>
      <c r="W8" s="24">
        <f t="shared" si="7"/>
        <v>1528906.8998521306</v>
      </c>
    </row>
    <row r="9" spans="1:23" ht="18" customHeight="1" x14ac:dyDescent="0.25">
      <c r="A9" s="21">
        <v>46030</v>
      </c>
      <c r="B9" s="23">
        <v>889206.37287561106</v>
      </c>
      <c r="C9" s="23">
        <v>5557.8641293601358</v>
      </c>
      <c r="D9" s="25">
        <f t="shared" si="1"/>
        <v>159.99066407152046</v>
      </c>
      <c r="E9" s="23">
        <f t="shared" si="0"/>
        <v>1194.9407878124291</v>
      </c>
      <c r="F9" s="32">
        <v>0.215</v>
      </c>
      <c r="G9" s="23">
        <v>408931.21313333313</v>
      </c>
      <c r="H9" s="23">
        <v>5092.9355666666643</v>
      </c>
      <c r="I9" s="25">
        <f t="shared" si="2"/>
        <v>80.293812434972423</v>
      </c>
      <c r="J9" s="23">
        <f t="shared" si="3"/>
        <v>1604.2747034999993</v>
      </c>
      <c r="K9" s="32">
        <v>0.315</v>
      </c>
      <c r="L9" s="23">
        <v>575779.40497651929</v>
      </c>
      <c r="M9" s="23">
        <v>3372.9376171854119</v>
      </c>
      <c r="N9" s="25">
        <f t="shared" si="4"/>
        <v>170.70561935177008</v>
      </c>
      <c r="O9" s="23">
        <f t="shared" si="5"/>
        <v>725.18158769486354</v>
      </c>
      <c r="P9" s="32">
        <v>0.215</v>
      </c>
      <c r="Q9" s="23">
        <v>27502.379157589825</v>
      </c>
      <c r="R9" s="23">
        <v>241.01251601767882</v>
      </c>
      <c r="S9" s="25">
        <f t="shared" si="6"/>
        <v>114.11182959300115</v>
      </c>
      <c r="T9" s="24"/>
      <c r="U9" s="32"/>
      <c r="V9" s="22"/>
      <c r="W9" s="24">
        <f t="shared" si="7"/>
        <v>1464985.7778521304</v>
      </c>
    </row>
    <row r="10" spans="1:23" ht="18" customHeight="1" x14ac:dyDescent="0.25">
      <c r="A10" s="21">
        <v>46031</v>
      </c>
      <c r="B10" s="23">
        <v>811609.62087561109</v>
      </c>
      <c r="C10" s="23">
        <v>5072.856129360136</v>
      </c>
      <c r="D10" s="25">
        <f t="shared" si="1"/>
        <v>159.99066407152046</v>
      </c>
      <c r="E10" s="23">
        <f t="shared" si="0"/>
        <v>1090.6640678124293</v>
      </c>
      <c r="F10" s="32">
        <v>0.215</v>
      </c>
      <c r="G10" s="23">
        <v>385316.32113333308</v>
      </c>
      <c r="H10" s="23">
        <v>4798.8295666666636</v>
      </c>
      <c r="I10" s="25">
        <f t="shared" si="2"/>
        <v>80.293812434972423</v>
      </c>
      <c r="J10" s="23">
        <f t="shared" si="3"/>
        <v>1511.6313134999991</v>
      </c>
      <c r="K10" s="32">
        <v>0.315</v>
      </c>
      <c r="L10" s="23">
        <v>525533.91297651932</v>
      </c>
      <c r="M10" s="23">
        <v>3078.5976171854122</v>
      </c>
      <c r="N10" s="25">
        <f t="shared" si="4"/>
        <v>170.70561935177005</v>
      </c>
      <c r="O10" s="23">
        <f t="shared" si="5"/>
        <v>661.89848769486366</v>
      </c>
      <c r="P10" s="32">
        <v>0.215</v>
      </c>
      <c r="Q10" s="23">
        <v>25102.379157589825</v>
      </c>
      <c r="R10" s="23">
        <v>219.98051601767884</v>
      </c>
      <c r="S10" s="25">
        <f t="shared" si="6"/>
        <v>114.11182959300113</v>
      </c>
      <c r="T10" s="24"/>
      <c r="U10" s="32"/>
      <c r="V10" s="22"/>
      <c r="W10" s="24">
        <f t="shared" si="7"/>
        <v>1337143.5338521304</v>
      </c>
    </row>
    <row r="11" spans="1:23" ht="18" customHeight="1" x14ac:dyDescent="0.25">
      <c r="A11" s="21">
        <v>46032</v>
      </c>
      <c r="B11" s="23">
        <v>520621.80087561102</v>
      </c>
      <c r="C11" s="23">
        <v>3254.0761293601354</v>
      </c>
      <c r="D11" s="25">
        <f t="shared" si="1"/>
        <v>159.99066407152048</v>
      </c>
      <c r="E11" s="23">
        <f t="shared" si="0"/>
        <v>699.62636781242907</v>
      </c>
      <c r="F11" s="32">
        <v>0.215</v>
      </c>
      <c r="G11" s="23">
        <v>361701.42913333309</v>
      </c>
      <c r="H11" s="23">
        <v>4504.7235666666638</v>
      </c>
      <c r="I11" s="25">
        <f t="shared" si="2"/>
        <v>80.293812434972423</v>
      </c>
      <c r="J11" s="23">
        <f t="shared" si="3"/>
        <v>1418.9879234999992</v>
      </c>
      <c r="K11" s="32">
        <v>0.315</v>
      </c>
      <c r="L11" s="23">
        <v>337113.31797651929</v>
      </c>
      <c r="M11" s="23">
        <v>1974.8226171854119</v>
      </c>
      <c r="N11" s="25">
        <f t="shared" si="4"/>
        <v>170.70561935177008</v>
      </c>
      <c r="O11" s="23">
        <f t="shared" si="5"/>
        <v>424.58686269486356</v>
      </c>
      <c r="P11" s="32">
        <v>0.215</v>
      </c>
      <c r="Q11" s="23">
        <v>16102.379157589823</v>
      </c>
      <c r="R11" s="23">
        <v>141.11051601767883</v>
      </c>
      <c r="S11" s="25">
        <f t="shared" si="6"/>
        <v>114.11182959300113</v>
      </c>
      <c r="T11" s="24"/>
      <c r="U11" s="32"/>
      <c r="V11" s="22"/>
      <c r="W11" s="24">
        <f t="shared" si="7"/>
        <v>857735.11885213037</v>
      </c>
    </row>
    <row r="12" spans="1:23" ht="18" customHeight="1" x14ac:dyDescent="0.25">
      <c r="A12" s="21">
        <v>46033</v>
      </c>
      <c r="B12" s="23">
        <v>443025.04887561104</v>
      </c>
      <c r="C12" s="23">
        <v>2769.0681293601356</v>
      </c>
      <c r="D12" s="25">
        <f t="shared" si="1"/>
        <v>159.99066407152048</v>
      </c>
      <c r="E12" s="23">
        <f t="shared" si="0"/>
        <v>595.34964781242911</v>
      </c>
      <c r="F12" s="32">
        <v>0.215</v>
      </c>
      <c r="G12" s="23">
        <v>338086.5371333331</v>
      </c>
      <c r="H12" s="23">
        <v>4210.6175666666641</v>
      </c>
      <c r="I12" s="25">
        <f t="shared" si="2"/>
        <v>80.293812434972423</v>
      </c>
      <c r="J12" s="23">
        <f t="shared" si="3"/>
        <v>1326.3445334999992</v>
      </c>
      <c r="K12" s="32">
        <v>0.315</v>
      </c>
      <c r="L12" s="23">
        <v>286867.82597651926</v>
      </c>
      <c r="M12" s="23">
        <v>1680.482617185412</v>
      </c>
      <c r="N12" s="25">
        <f t="shared" si="4"/>
        <v>170.70561935177005</v>
      </c>
      <c r="O12" s="23">
        <f t="shared" si="5"/>
        <v>361.30376269486356</v>
      </c>
      <c r="P12" s="32">
        <v>0.215</v>
      </c>
      <c r="Q12" s="23">
        <v>13702.379157589823</v>
      </c>
      <c r="R12" s="23">
        <v>120.07851601767882</v>
      </c>
      <c r="S12" s="25">
        <f t="shared" si="6"/>
        <v>114.11182959300113</v>
      </c>
      <c r="T12" s="24"/>
      <c r="U12" s="32"/>
      <c r="V12" s="22"/>
      <c r="W12" s="24">
        <f t="shared" si="7"/>
        <v>729892.87485213031</v>
      </c>
    </row>
    <row r="13" spans="1:23" ht="18" customHeight="1" x14ac:dyDescent="0.25">
      <c r="A13" s="21">
        <v>46034</v>
      </c>
      <c r="B13" s="23">
        <v>675815.30487561109</v>
      </c>
      <c r="C13" s="23">
        <v>4224.0921293601359</v>
      </c>
      <c r="D13" s="25">
        <f t="shared" si="1"/>
        <v>159.99066407152046</v>
      </c>
      <c r="E13" s="23">
        <f t="shared" si="0"/>
        <v>908.1798078124292</v>
      </c>
      <c r="F13" s="32">
        <v>0.215</v>
      </c>
      <c r="G13" s="23">
        <v>397123.76713333308</v>
      </c>
      <c r="H13" s="23">
        <v>4945.8825666666635</v>
      </c>
      <c r="I13" s="25">
        <f t="shared" si="2"/>
        <v>80.293812434972423</v>
      </c>
      <c r="J13" s="23">
        <f t="shared" si="3"/>
        <v>1557.953008499999</v>
      </c>
      <c r="K13" s="32">
        <v>0.315</v>
      </c>
      <c r="L13" s="23">
        <v>437604.30197651929</v>
      </c>
      <c r="M13" s="23">
        <v>2563.5026171854124</v>
      </c>
      <c r="N13" s="25">
        <f t="shared" si="4"/>
        <v>170.70561935177005</v>
      </c>
      <c r="O13" s="23">
        <f t="shared" si="5"/>
        <v>551.15306269486371</v>
      </c>
      <c r="P13" s="32">
        <v>0.215</v>
      </c>
      <c r="Q13" s="23">
        <v>20902.379157589825</v>
      </c>
      <c r="R13" s="23">
        <v>183.17451601767885</v>
      </c>
      <c r="S13" s="25">
        <f t="shared" si="6"/>
        <v>114.11182959300113</v>
      </c>
      <c r="T13" s="24"/>
      <c r="U13" s="32"/>
      <c r="V13" s="22"/>
      <c r="W13" s="24">
        <f t="shared" si="7"/>
        <v>1113419.6068521305</v>
      </c>
    </row>
    <row r="14" spans="1:23" ht="18" customHeight="1" x14ac:dyDescent="0.25">
      <c r="A14" s="21">
        <v>46035</v>
      </c>
      <c r="B14" s="23">
        <v>707415.14716887719</v>
      </c>
      <c r="C14" s="23">
        <v>4421.6026683447108</v>
      </c>
      <c r="D14" s="25">
        <f t="shared" si="1"/>
        <v>159.99066407152048</v>
      </c>
      <c r="E14" s="23">
        <f t="shared" si="0"/>
        <v>950.64457369411275</v>
      </c>
      <c r="F14" s="32">
        <v>0.215</v>
      </c>
      <c r="G14" s="23">
        <v>420738.65913333313</v>
      </c>
      <c r="H14" s="23">
        <v>5239.9885666666642</v>
      </c>
      <c r="I14" s="25">
        <f t="shared" si="2"/>
        <v>80.293812434972423</v>
      </c>
      <c r="J14" s="23">
        <f t="shared" si="3"/>
        <v>1650.5963984999992</v>
      </c>
      <c r="K14" s="32">
        <v>0.315</v>
      </c>
      <c r="L14" s="23">
        <v>458065.84942824201</v>
      </c>
      <c r="M14" s="23">
        <v>2683.367139099937</v>
      </c>
      <c r="N14" s="25">
        <f t="shared" si="4"/>
        <v>170.70561935177003</v>
      </c>
      <c r="O14" s="23">
        <f t="shared" si="5"/>
        <v>576.92393490648647</v>
      </c>
      <c r="P14" s="32">
        <v>0.215</v>
      </c>
      <c r="Q14" s="23">
        <v>21879.734775565157</v>
      </c>
      <c r="R14" s="23">
        <v>191.73940908320267</v>
      </c>
      <c r="S14" s="25">
        <f t="shared" si="6"/>
        <v>114.11182959300113</v>
      </c>
      <c r="T14" s="24"/>
      <c r="U14" s="32"/>
      <c r="V14" s="22"/>
      <c r="W14" s="24">
        <f t="shared" si="7"/>
        <v>1165480.9965971191</v>
      </c>
    </row>
    <row r="15" spans="1:23" ht="18" customHeight="1" x14ac:dyDescent="0.25">
      <c r="A15" s="21">
        <v>46036</v>
      </c>
      <c r="B15" s="23">
        <v>692526.63549913815</v>
      </c>
      <c r="C15" s="23">
        <v>4328.5440404795036</v>
      </c>
      <c r="D15" s="25">
        <f t="shared" si="1"/>
        <v>159.99066407152046</v>
      </c>
      <c r="E15" s="23">
        <f t="shared" si="0"/>
        <v>930.6369687030932</v>
      </c>
      <c r="F15" s="32">
        <v>0.215</v>
      </c>
      <c r="G15" s="23">
        <v>397123.76713333308</v>
      </c>
      <c r="H15" s="23">
        <v>4945.8825666666635</v>
      </c>
      <c r="I15" s="25">
        <f t="shared" si="2"/>
        <v>80.293812434972423</v>
      </c>
      <c r="J15" s="23">
        <f t="shared" si="3"/>
        <v>1557.953008499999</v>
      </c>
      <c r="K15" s="32">
        <v>0.315</v>
      </c>
      <c r="L15" s="23">
        <v>448425.23207361647</v>
      </c>
      <c r="M15" s="23">
        <v>2626.8920365741124</v>
      </c>
      <c r="N15" s="25">
        <f t="shared" si="4"/>
        <v>170.70561935177005</v>
      </c>
      <c r="O15" s="23">
        <f t="shared" si="5"/>
        <v>564.78178786343415</v>
      </c>
      <c r="P15" s="32">
        <v>0.215</v>
      </c>
      <c r="Q15" s="23">
        <v>21419.246068417033</v>
      </c>
      <c r="R15" s="23">
        <v>187.70399304622794</v>
      </c>
      <c r="S15" s="25">
        <f t="shared" si="6"/>
        <v>114.11182959300113</v>
      </c>
      <c r="T15" s="24"/>
      <c r="U15" s="32"/>
      <c r="V15" s="22"/>
      <c r="W15" s="24">
        <f t="shared" si="7"/>
        <v>1140951.8675727546</v>
      </c>
    </row>
    <row r="16" spans="1:23" ht="18" customHeight="1" x14ac:dyDescent="0.25">
      <c r="A16" s="21">
        <v>46037</v>
      </c>
      <c r="B16" s="23">
        <v>735155.0157686423</v>
      </c>
      <c r="C16" s="23">
        <v>4594.9869639893905</v>
      </c>
      <c r="D16" s="25">
        <f t="shared" si="1"/>
        <v>159.99066407152048</v>
      </c>
      <c r="E16" s="23">
        <f t="shared" si="0"/>
        <v>987.92219725771895</v>
      </c>
      <c r="F16" s="32">
        <v>0.215</v>
      </c>
      <c r="G16" s="23">
        <v>408931.21313333313</v>
      </c>
      <c r="H16" s="23">
        <v>5092.9355666666643</v>
      </c>
      <c r="I16" s="25">
        <f t="shared" si="2"/>
        <v>80.293812434972423</v>
      </c>
      <c r="J16" s="23">
        <f t="shared" si="3"/>
        <v>1604.2747034999993</v>
      </c>
      <c r="K16" s="32">
        <v>0.315</v>
      </c>
      <c r="L16" s="23">
        <v>476027.98456774571</v>
      </c>
      <c r="M16" s="23">
        <v>2788.590008784674</v>
      </c>
      <c r="N16" s="25">
        <f t="shared" si="4"/>
        <v>170.70561935177008</v>
      </c>
      <c r="O16" s="23">
        <f t="shared" si="5"/>
        <v>599.54685188870485</v>
      </c>
      <c r="P16" s="32">
        <v>0.215</v>
      </c>
      <c r="Q16" s="23">
        <v>22737.704766879178</v>
      </c>
      <c r="R16" s="23">
        <v>199.25808610708455</v>
      </c>
      <c r="S16" s="25">
        <f t="shared" si="6"/>
        <v>114.11182959300113</v>
      </c>
      <c r="T16" s="24"/>
      <c r="U16" s="32"/>
      <c r="V16" s="22"/>
      <c r="W16" s="24">
        <f t="shared" si="7"/>
        <v>1211183.0003363881</v>
      </c>
    </row>
    <row r="17" spans="1:23" ht="18" customHeight="1" x14ac:dyDescent="0.25">
      <c r="A17" s="21">
        <v>46038</v>
      </c>
      <c r="B17" s="23">
        <v>685408.13792183762</v>
      </c>
      <c r="C17" s="23">
        <v>4284.0508344626933</v>
      </c>
      <c r="D17" s="25">
        <f t="shared" si="1"/>
        <v>159.99066407152046</v>
      </c>
      <c r="E17" s="23">
        <f t="shared" si="0"/>
        <v>921.07092940947905</v>
      </c>
      <c r="F17" s="32">
        <v>0.215</v>
      </c>
      <c r="G17" s="23">
        <v>385316.32113333308</v>
      </c>
      <c r="H17" s="23">
        <v>4798.8295666666636</v>
      </c>
      <c r="I17" s="25">
        <f t="shared" si="2"/>
        <v>80.293812434972423</v>
      </c>
      <c r="J17" s="23">
        <f t="shared" si="3"/>
        <v>1511.6313134999991</v>
      </c>
      <c r="K17" s="32">
        <v>0.315</v>
      </c>
      <c r="L17" s="23">
        <v>443815.85856437124</v>
      </c>
      <c r="M17" s="23">
        <v>2599.8901515351272</v>
      </c>
      <c r="N17" s="25">
        <f t="shared" si="4"/>
        <v>170.70561935177008</v>
      </c>
      <c r="O17" s="23">
        <f t="shared" si="5"/>
        <v>558.97638258005236</v>
      </c>
      <c r="P17" s="32">
        <v>0.215</v>
      </c>
      <c r="Q17" s="23">
        <v>21199.077134213174</v>
      </c>
      <c r="R17" s="23">
        <v>185.77457928615479</v>
      </c>
      <c r="S17" s="25">
        <f t="shared" si="6"/>
        <v>114.11182959300113</v>
      </c>
      <c r="T17" s="24"/>
      <c r="U17" s="32"/>
      <c r="V17" s="22"/>
      <c r="W17" s="24">
        <f t="shared" si="7"/>
        <v>1129223.9964862089</v>
      </c>
    </row>
    <row r="18" spans="1:23" ht="18" customHeight="1" x14ac:dyDescent="0.25">
      <c r="A18" s="21">
        <v>46039</v>
      </c>
      <c r="B18" s="23">
        <v>520621.80087561102</v>
      </c>
      <c r="C18" s="23">
        <v>3254.0761293601354</v>
      </c>
      <c r="D18" s="25">
        <f t="shared" si="1"/>
        <v>159.99066407152048</v>
      </c>
      <c r="E18" s="23">
        <f t="shared" si="0"/>
        <v>699.62636781242907</v>
      </c>
      <c r="F18" s="32">
        <v>0.215</v>
      </c>
      <c r="G18" s="23">
        <v>361701.42913333309</v>
      </c>
      <c r="H18" s="23">
        <v>4504.7235666666638</v>
      </c>
      <c r="I18" s="25">
        <f t="shared" si="2"/>
        <v>80.293812434972423</v>
      </c>
      <c r="J18" s="23">
        <f t="shared" si="3"/>
        <v>1418.9879234999992</v>
      </c>
      <c r="K18" s="32">
        <v>0.315</v>
      </c>
      <c r="L18" s="23">
        <v>337113.31797651929</v>
      </c>
      <c r="M18" s="23">
        <v>1974.8226171854119</v>
      </c>
      <c r="N18" s="25">
        <f t="shared" si="4"/>
        <v>170.70561935177008</v>
      </c>
      <c r="O18" s="23">
        <f t="shared" si="5"/>
        <v>424.58686269486356</v>
      </c>
      <c r="P18" s="32">
        <v>0.215</v>
      </c>
      <c r="Q18" s="23">
        <v>16102.379157589823</v>
      </c>
      <c r="R18" s="23">
        <v>141.11051601767883</v>
      </c>
      <c r="S18" s="25">
        <f t="shared" si="6"/>
        <v>114.11182959300113</v>
      </c>
      <c r="T18" s="24"/>
      <c r="U18" s="32"/>
      <c r="V18" s="22"/>
      <c r="W18" s="24">
        <f t="shared" si="7"/>
        <v>857735.11885213037</v>
      </c>
    </row>
    <row r="19" spans="1:23" ht="18" customHeight="1" x14ac:dyDescent="0.25">
      <c r="A19" s="21">
        <v>46040</v>
      </c>
      <c r="B19" s="23">
        <v>443025.04887561104</v>
      </c>
      <c r="C19" s="23">
        <v>2769.0681293601356</v>
      </c>
      <c r="D19" s="25">
        <f t="shared" si="1"/>
        <v>159.99066407152048</v>
      </c>
      <c r="E19" s="23">
        <f t="shared" si="0"/>
        <v>595.34964781242911</v>
      </c>
      <c r="F19" s="32">
        <v>0.215</v>
      </c>
      <c r="G19" s="23">
        <v>338086.5371333331</v>
      </c>
      <c r="H19" s="23">
        <v>4210.6175666666641</v>
      </c>
      <c r="I19" s="25">
        <f t="shared" si="2"/>
        <v>80.293812434972423</v>
      </c>
      <c r="J19" s="23">
        <f t="shared" si="3"/>
        <v>1326.3445334999992</v>
      </c>
      <c r="K19" s="32">
        <v>0.315</v>
      </c>
      <c r="L19" s="23">
        <v>286867.82597651926</v>
      </c>
      <c r="M19" s="23">
        <v>1680.482617185412</v>
      </c>
      <c r="N19" s="25">
        <f t="shared" si="4"/>
        <v>170.70561935177005</v>
      </c>
      <c r="O19" s="23">
        <f t="shared" si="5"/>
        <v>361.30376269486356</v>
      </c>
      <c r="P19" s="32">
        <v>0.215</v>
      </c>
      <c r="Q19" s="23">
        <v>13702.379157589823</v>
      </c>
      <c r="R19" s="23">
        <v>120.07851601767882</v>
      </c>
      <c r="S19" s="25">
        <f t="shared" si="6"/>
        <v>114.11182959300113</v>
      </c>
      <c r="T19" s="24"/>
      <c r="U19" s="32"/>
      <c r="V19" s="22"/>
      <c r="W19" s="24">
        <f t="shared" si="7"/>
        <v>729892.87485213031</v>
      </c>
    </row>
    <row r="20" spans="1:23" ht="18" customHeight="1" x14ac:dyDescent="0.25">
      <c r="A20" s="21">
        <v>46041</v>
      </c>
      <c r="B20" s="23">
        <v>637016.92887561105</v>
      </c>
      <c r="C20" s="23">
        <v>3981.5881293601356</v>
      </c>
      <c r="D20" s="25">
        <f t="shared" si="1"/>
        <v>159.99066407152048</v>
      </c>
      <c r="E20" s="23">
        <f t="shared" si="0"/>
        <v>856.04144781242917</v>
      </c>
      <c r="F20" s="32">
        <v>0.215</v>
      </c>
      <c r="G20" s="23">
        <v>397123.76713333308</v>
      </c>
      <c r="H20" s="23">
        <v>4945.8825666666635</v>
      </c>
      <c r="I20" s="25">
        <f t="shared" si="2"/>
        <v>80.293812434972423</v>
      </c>
      <c r="J20" s="23">
        <f t="shared" si="3"/>
        <v>1557.953008499999</v>
      </c>
      <c r="K20" s="32">
        <v>0.315</v>
      </c>
      <c r="L20" s="23">
        <v>412481.5559765193</v>
      </c>
      <c r="M20" s="23">
        <v>2416.3326171854119</v>
      </c>
      <c r="N20" s="25">
        <f t="shared" si="4"/>
        <v>170.70561935177008</v>
      </c>
      <c r="O20" s="23">
        <f t="shared" si="5"/>
        <v>519.51151269486354</v>
      </c>
      <c r="P20" s="32">
        <v>0.215</v>
      </c>
      <c r="Q20" s="23">
        <v>19702.379157589825</v>
      </c>
      <c r="R20" s="23">
        <v>172.65851601767883</v>
      </c>
      <c r="S20" s="25">
        <f t="shared" si="6"/>
        <v>114.11182959300113</v>
      </c>
      <c r="T20" s="24"/>
      <c r="U20" s="32"/>
      <c r="V20" s="22"/>
      <c r="W20" s="24">
        <f t="shared" si="7"/>
        <v>1049498.4848521303</v>
      </c>
    </row>
    <row r="21" spans="1:23" ht="18" customHeight="1" x14ac:dyDescent="0.25">
      <c r="A21" s="21">
        <v>46042</v>
      </c>
      <c r="B21" s="23">
        <v>695214.49287561118</v>
      </c>
      <c r="C21" s="23">
        <v>4345.3441293601363</v>
      </c>
      <c r="D21" s="25">
        <f t="shared" si="1"/>
        <v>159.99066407152048</v>
      </c>
      <c r="E21" s="23">
        <f t="shared" si="0"/>
        <v>934.24898781242928</v>
      </c>
      <c r="F21" s="32">
        <v>0.215</v>
      </c>
      <c r="G21" s="23">
        <v>420738.65913333313</v>
      </c>
      <c r="H21" s="23">
        <v>5239.9885666666642</v>
      </c>
      <c r="I21" s="25">
        <f t="shared" si="2"/>
        <v>80.293812434972423</v>
      </c>
      <c r="J21" s="23">
        <f t="shared" si="3"/>
        <v>1650.5963984999992</v>
      </c>
      <c r="K21" s="32">
        <v>0.315</v>
      </c>
      <c r="L21" s="23">
        <v>450165.67497651931</v>
      </c>
      <c r="M21" s="23">
        <v>2637.0876171854125</v>
      </c>
      <c r="N21" s="25">
        <f t="shared" si="4"/>
        <v>170.70561935177005</v>
      </c>
      <c r="O21" s="23">
        <f t="shared" si="5"/>
        <v>566.97383769486362</v>
      </c>
      <c r="P21" s="32">
        <v>0.215</v>
      </c>
      <c r="Q21" s="23">
        <v>21502.379157589825</v>
      </c>
      <c r="R21" s="23">
        <v>188.43251601767884</v>
      </c>
      <c r="S21" s="25">
        <f t="shared" si="6"/>
        <v>114.11182959300113</v>
      </c>
      <c r="T21" s="24"/>
      <c r="U21" s="32"/>
      <c r="V21" s="22"/>
      <c r="W21" s="24">
        <f t="shared" si="7"/>
        <v>1145380.1678521305</v>
      </c>
    </row>
    <row r="22" spans="1:23" ht="18" customHeight="1" x14ac:dyDescent="0.25">
      <c r="A22" s="21">
        <v>46043</v>
      </c>
      <c r="B22" s="23">
        <v>656416.11687561113</v>
      </c>
      <c r="C22" s="23">
        <v>4102.8401293601355</v>
      </c>
      <c r="D22" s="25">
        <f t="shared" si="1"/>
        <v>159.99066407152048</v>
      </c>
      <c r="E22" s="23">
        <f t="shared" si="0"/>
        <v>882.11062781242913</v>
      </c>
      <c r="F22" s="32">
        <v>0.215</v>
      </c>
      <c r="G22" s="23">
        <v>397123.76713333308</v>
      </c>
      <c r="H22" s="23">
        <v>4945.8825666666635</v>
      </c>
      <c r="I22" s="25">
        <f t="shared" si="2"/>
        <v>80.293812434972423</v>
      </c>
      <c r="J22" s="23">
        <f t="shared" si="3"/>
        <v>1557.953008499999</v>
      </c>
      <c r="K22" s="32">
        <v>0.315</v>
      </c>
      <c r="L22" s="23">
        <v>425042.92897651932</v>
      </c>
      <c r="M22" s="23">
        <v>2489.9176171854124</v>
      </c>
      <c r="N22" s="25">
        <f t="shared" si="4"/>
        <v>170.70561935177005</v>
      </c>
      <c r="O22" s="23">
        <f t="shared" si="5"/>
        <v>535.33228769486368</v>
      </c>
      <c r="P22" s="32">
        <v>0.215</v>
      </c>
      <c r="Q22" s="23">
        <v>20302.379157589825</v>
      </c>
      <c r="R22" s="23">
        <v>177.91651601767884</v>
      </c>
      <c r="S22" s="25">
        <f t="shared" si="6"/>
        <v>114.11182959300113</v>
      </c>
      <c r="T22" s="24"/>
      <c r="U22" s="32"/>
      <c r="V22" s="22"/>
      <c r="W22" s="24">
        <f t="shared" si="7"/>
        <v>1081459.0458521305</v>
      </c>
    </row>
    <row r="23" spans="1:23" ht="18" customHeight="1" x14ac:dyDescent="0.25">
      <c r="A23" s="21">
        <v>46044</v>
      </c>
      <c r="B23" s="23">
        <v>637016.92887561105</v>
      </c>
      <c r="C23" s="23">
        <v>3981.5881293601356</v>
      </c>
      <c r="D23" s="25">
        <f t="shared" si="1"/>
        <v>159.99066407152048</v>
      </c>
      <c r="E23" s="23">
        <f t="shared" si="0"/>
        <v>856.04144781242917</v>
      </c>
      <c r="F23" s="32">
        <v>0.215</v>
      </c>
      <c r="G23" s="23">
        <v>408931.21313333313</v>
      </c>
      <c r="H23" s="23">
        <v>5092.9355666666643</v>
      </c>
      <c r="I23" s="25">
        <f t="shared" si="2"/>
        <v>80.293812434972423</v>
      </c>
      <c r="J23" s="23">
        <f t="shared" si="3"/>
        <v>1604.2747034999993</v>
      </c>
      <c r="K23" s="32">
        <v>0.315</v>
      </c>
      <c r="L23" s="23">
        <v>412481.5559765193</v>
      </c>
      <c r="M23" s="23">
        <v>2416.3326171854119</v>
      </c>
      <c r="N23" s="25">
        <f t="shared" si="4"/>
        <v>170.70561935177008</v>
      </c>
      <c r="O23" s="23">
        <f t="shared" si="5"/>
        <v>519.51151269486354</v>
      </c>
      <c r="P23" s="32">
        <v>0.215</v>
      </c>
      <c r="Q23" s="23">
        <v>19702.379157589825</v>
      </c>
      <c r="R23" s="23">
        <v>172.65851601767883</v>
      </c>
      <c r="S23" s="25">
        <f t="shared" si="6"/>
        <v>114.11182959300113</v>
      </c>
      <c r="T23" s="24"/>
      <c r="U23" s="32"/>
      <c r="V23" s="22"/>
      <c r="W23" s="24">
        <f t="shared" si="7"/>
        <v>1049498.4848521303</v>
      </c>
    </row>
    <row r="24" spans="1:23" ht="18" customHeight="1" x14ac:dyDescent="0.25">
      <c r="A24" s="21">
        <v>46045</v>
      </c>
      <c r="B24" s="23">
        <v>617617.74087561108</v>
      </c>
      <c r="C24" s="23">
        <v>3860.3361293601356</v>
      </c>
      <c r="D24" s="25">
        <f t="shared" si="1"/>
        <v>159.99066407152048</v>
      </c>
      <c r="E24" s="23">
        <f t="shared" si="0"/>
        <v>829.9722678124291</v>
      </c>
      <c r="F24" s="32">
        <v>0.215</v>
      </c>
      <c r="G24" s="23">
        <v>385316.32113333308</v>
      </c>
      <c r="H24" s="23">
        <v>4798.8295666666636</v>
      </c>
      <c r="I24" s="25">
        <f t="shared" si="2"/>
        <v>80.293812434972423</v>
      </c>
      <c r="J24" s="23">
        <f t="shared" si="3"/>
        <v>1511.6313134999991</v>
      </c>
      <c r="K24" s="32">
        <v>0.315</v>
      </c>
      <c r="L24" s="23">
        <v>399920.18297651928</v>
      </c>
      <c r="M24" s="23">
        <v>2342.7476171854119</v>
      </c>
      <c r="N24" s="25">
        <f t="shared" si="4"/>
        <v>170.70561935177008</v>
      </c>
      <c r="O24" s="23">
        <f t="shared" si="5"/>
        <v>503.69073769486351</v>
      </c>
      <c r="P24" s="32">
        <v>0.215</v>
      </c>
      <c r="Q24" s="23">
        <v>19102.379157589825</v>
      </c>
      <c r="R24" s="23">
        <v>167.40051601767883</v>
      </c>
      <c r="S24" s="25">
        <f t="shared" si="6"/>
        <v>114.11182959300115</v>
      </c>
      <c r="T24" s="24"/>
      <c r="U24" s="32"/>
      <c r="V24" s="22"/>
      <c r="W24" s="24">
        <f t="shared" si="7"/>
        <v>1017537.9238521303</v>
      </c>
    </row>
    <row r="25" spans="1:23" ht="18" customHeight="1" x14ac:dyDescent="0.25">
      <c r="A25" s="21">
        <v>46046</v>
      </c>
      <c r="B25" s="23">
        <v>520621.80087561102</v>
      </c>
      <c r="C25" s="23">
        <v>3254.0761293601354</v>
      </c>
      <c r="D25" s="25">
        <f t="shared" si="1"/>
        <v>159.99066407152048</v>
      </c>
      <c r="E25" s="23">
        <f t="shared" si="0"/>
        <v>699.62636781242907</v>
      </c>
      <c r="F25" s="32">
        <v>0.215</v>
      </c>
      <c r="G25" s="23">
        <v>361701.42913333309</v>
      </c>
      <c r="H25" s="23">
        <v>4504.7235666666638</v>
      </c>
      <c r="I25" s="25">
        <f t="shared" si="2"/>
        <v>80.293812434972423</v>
      </c>
      <c r="J25" s="23">
        <f t="shared" si="3"/>
        <v>1418.9879234999992</v>
      </c>
      <c r="K25" s="32">
        <v>0.315</v>
      </c>
      <c r="L25" s="23">
        <v>337113.31797651929</v>
      </c>
      <c r="M25" s="23">
        <v>1974.8226171854119</v>
      </c>
      <c r="N25" s="25">
        <f t="shared" si="4"/>
        <v>170.70561935177008</v>
      </c>
      <c r="O25" s="23">
        <f t="shared" si="5"/>
        <v>424.58686269486356</v>
      </c>
      <c r="P25" s="32">
        <v>0.215</v>
      </c>
      <c r="Q25" s="23">
        <v>16102.379157589823</v>
      </c>
      <c r="R25" s="23">
        <v>141.11051601767883</v>
      </c>
      <c r="S25" s="25">
        <f t="shared" si="6"/>
        <v>114.11182959300113</v>
      </c>
      <c r="T25" s="24"/>
      <c r="U25" s="32"/>
      <c r="V25" s="22"/>
      <c r="W25" s="24">
        <f t="shared" si="7"/>
        <v>857735.11885213037</v>
      </c>
    </row>
    <row r="26" spans="1:23" ht="18" customHeight="1" x14ac:dyDescent="0.25">
      <c r="A26" s="21">
        <v>46047</v>
      </c>
      <c r="B26" s="23">
        <v>443025.04887561104</v>
      </c>
      <c r="C26" s="23">
        <v>2769.0681293601356</v>
      </c>
      <c r="D26" s="25">
        <f t="shared" si="1"/>
        <v>159.99066407152048</v>
      </c>
      <c r="E26" s="23">
        <f t="shared" si="0"/>
        <v>595.34964781242911</v>
      </c>
      <c r="F26" s="32">
        <v>0.215</v>
      </c>
      <c r="G26" s="23">
        <v>338086.5371333331</v>
      </c>
      <c r="H26" s="23">
        <v>4210.6175666666641</v>
      </c>
      <c r="I26" s="25">
        <f t="shared" si="2"/>
        <v>80.293812434972423</v>
      </c>
      <c r="J26" s="23">
        <f t="shared" si="3"/>
        <v>1326.3445334999992</v>
      </c>
      <c r="K26" s="32">
        <v>0.315</v>
      </c>
      <c r="L26" s="23">
        <v>286867.82597651926</v>
      </c>
      <c r="M26" s="23">
        <v>1680.482617185412</v>
      </c>
      <c r="N26" s="25">
        <f t="shared" si="4"/>
        <v>170.70561935177005</v>
      </c>
      <c r="O26" s="23">
        <f t="shared" si="5"/>
        <v>361.30376269486356</v>
      </c>
      <c r="P26" s="32">
        <v>0.215</v>
      </c>
      <c r="Q26" s="23">
        <v>13702.379157589823</v>
      </c>
      <c r="R26" s="23">
        <v>120.07851601767882</v>
      </c>
      <c r="S26" s="25">
        <f t="shared" si="6"/>
        <v>114.11182959300113</v>
      </c>
      <c r="T26" s="24"/>
      <c r="U26" s="32"/>
      <c r="V26" s="22"/>
      <c r="W26" s="24">
        <f t="shared" si="7"/>
        <v>729892.87485213031</v>
      </c>
    </row>
    <row r="27" spans="1:23" ht="18" customHeight="1" x14ac:dyDescent="0.25">
      <c r="A27" s="21">
        <v>46048</v>
      </c>
      <c r="B27" s="23">
        <v>617617.74087561108</v>
      </c>
      <c r="C27" s="23">
        <v>3860.3361293601356</v>
      </c>
      <c r="D27" s="25">
        <f t="shared" si="1"/>
        <v>159.99066407152048</v>
      </c>
      <c r="E27" s="23">
        <f t="shared" si="0"/>
        <v>829.9722678124291</v>
      </c>
      <c r="F27" s="32">
        <v>0.215</v>
      </c>
      <c r="G27" s="23">
        <v>397123.76713333308</v>
      </c>
      <c r="H27" s="23">
        <v>4945.8825666666635</v>
      </c>
      <c r="I27" s="25">
        <f t="shared" si="2"/>
        <v>80.293812434972423</v>
      </c>
      <c r="J27" s="23">
        <f t="shared" si="3"/>
        <v>1557.953008499999</v>
      </c>
      <c r="K27" s="32">
        <v>0.315</v>
      </c>
      <c r="L27" s="23">
        <v>399920.18297651928</v>
      </c>
      <c r="M27" s="23">
        <v>2342.7476171854119</v>
      </c>
      <c r="N27" s="25">
        <f t="shared" si="4"/>
        <v>170.70561935177008</v>
      </c>
      <c r="O27" s="23">
        <f t="shared" si="5"/>
        <v>503.69073769486351</v>
      </c>
      <c r="P27" s="32">
        <v>0.215</v>
      </c>
      <c r="Q27" s="23">
        <v>19102.379157589825</v>
      </c>
      <c r="R27" s="23">
        <v>167.40051601767883</v>
      </c>
      <c r="S27" s="25">
        <f t="shared" si="6"/>
        <v>114.11182959300115</v>
      </c>
      <c r="T27" s="24"/>
      <c r="U27" s="32"/>
      <c r="V27" s="22"/>
      <c r="W27" s="24">
        <f t="shared" si="7"/>
        <v>1017537.9238521303</v>
      </c>
    </row>
    <row r="28" spans="1:23" ht="18" customHeight="1" x14ac:dyDescent="0.25">
      <c r="A28" s="21">
        <v>46049</v>
      </c>
      <c r="B28" s="23">
        <v>675815.30487561109</v>
      </c>
      <c r="C28" s="23">
        <v>4224.0921293601359</v>
      </c>
      <c r="D28" s="25">
        <f t="shared" si="1"/>
        <v>159.99066407152046</v>
      </c>
      <c r="E28" s="23">
        <f t="shared" si="0"/>
        <v>908.1798078124292</v>
      </c>
      <c r="F28" s="32">
        <v>0.215</v>
      </c>
      <c r="G28" s="23">
        <v>420738.65913333313</v>
      </c>
      <c r="H28" s="23">
        <v>5239.9885666666642</v>
      </c>
      <c r="I28" s="25">
        <f t="shared" si="2"/>
        <v>80.293812434972423</v>
      </c>
      <c r="J28" s="23">
        <f t="shared" si="3"/>
        <v>1650.5963984999992</v>
      </c>
      <c r="K28" s="32">
        <v>0.315</v>
      </c>
      <c r="L28" s="23">
        <v>437604.30197651929</v>
      </c>
      <c r="M28" s="23">
        <v>2563.5026171854124</v>
      </c>
      <c r="N28" s="25">
        <f t="shared" si="4"/>
        <v>170.70561935177005</v>
      </c>
      <c r="O28" s="23">
        <f t="shared" si="5"/>
        <v>551.15306269486371</v>
      </c>
      <c r="P28" s="32">
        <v>0.215</v>
      </c>
      <c r="Q28" s="23">
        <v>20902.379157589825</v>
      </c>
      <c r="R28" s="23">
        <v>183.17451601767885</v>
      </c>
      <c r="S28" s="25">
        <f t="shared" si="6"/>
        <v>114.11182959300113</v>
      </c>
      <c r="T28" s="24"/>
      <c r="U28" s="32"/>
      <c r="V28" s="22"/>
      <c r="W28" s="24">
        <f t="shared" si="7"/>
        <v>1113419.6068521305</v>
      </c>
    </row>
    <row r="29" spans="1:23" ht="18" customHeight="1" x14ac:dyDescent="0.25">
      <c r="A29" s="21">
        <v>46050</v>
      </c>
      <c r="B29" s="23">
        <v>656416.11687561113</v>
      </c>
      <c r="C29" s="23">
        <v>4102.8401293601355</v>
      </c>
      <c r="D29" s="25">
        <f t="shared" si="1"/>
        <v>159.99066407152048</v>
      </c>
      <c r="E29" s="23">
        <f t="shared" si="0"/>
        <v>882.11062781242913</v>
      </c>
      <c r="F29" s="32">
        <v>0.215</v>
      </c>
      <c r="G29" s="23">
        <v>397123.76713333308</v>
      </c>
      <c r="H29" s="23">
        <v>4945.8825666666635</v>
      </c>
      <c r="I29" s="25">
        <f t="shared" si="2"/>
        <v>80.293812434972423</v>
      </c>
      <c r="J29" s="23">
        <f t="shared" si="3"/>
        <v>1557.953008499999</v>
      </c>
      <c r="K29" s="32">
        <v>0.315</v>
      </c>
      <c r="L29" s="23">
        <v>425042.92897651932</v>
      </c>
      <c r="M29" s="23">
        <v>2489.9176171854124</v>
      </c>
      <c r="N29" s="25">
        <f t="shared" si="4"/>
        <v>170.70561935177005</v>
      </c>
      <c r="O29" s="23">
        <f t="shared" si="5"/>
        <v>535.33228769486368</v>
      </c>
      <c r="P29" s="32">
        <v>0.215</v>
      </c>
      <c r="Q29" s="23">
        <v>20302.379157589825</v>
      </c>
      <c r="R29" s="23">
        <v>177.91651601767884</v>
      </c>
      <c r="S29" s="25">
        <f t="shared" si="6"/>
        <v>114.11182959300113</v>
      </c>
      <c r="T29" s="24"/>
      <c r="U29" s="32"/>
      <c r="V29" s="22"/>
      <c r="W29" s="24">
        <f t="shared" si="7"/>
        <v>1081459.0458521305</v>
      </c>
    </row>
    <row r="30" spans="1:23" ht="18" customHeight="1" x14ac:dyDescent="0.25">
      <c r="A30" s="21">
        <v>46051</v>
      </c>
      <c r="B30" s="23">
        <v>637016.92887561105</v>
      </c>
      <c r="C30" s="23">
        <v>3981.5881293601356</v>
      </c>
      <c r="D30" s="25">
        <f t="shared" si="1"/>
        <v>159.99066407152048</v>
      </c>
      <c r="E30" s="23">
        <f t="shared" si="0"/>
        <v>856.04144781242917</v>
      </c>
      <c r="F30" s="32">
        <v>0.215</v>
      </c>
      <c r="G30" s="23">
        <v>408931.21313333313</v>
      </c>
      <c r="H30" s="23">
        <v>5092.9355666666643</v>
      </c>
      <c r="I30" s="25">
        <f t="shared" si="2"/>
        <v>80.293812434972423</v>
      </c>
      <c r="J30" s="23">
        <f t="shared" si="3"/>
        <v>1604.2747034999993</v>
      </c>
      <c r="K30" s="32">
        <v>0.315</v>
      </c>
      <c r="L30" s="23">
        <v>412481.5559765193</v>
      </c>
      <c r="M30" s="23">
        <v>2416.3326171854119</v>
      </c>
      <c r="N30" s="25">
        <f t="shared" si="4"/>
        <v>170.70561935177008</v>
      </c>
      <c r="O30" s="23">
        <f t="shared" si="5"/>
        <v>519.51151269486354</v>
      </c>
      <c r="P30" s="32">
        <v>0.215</v>
      </c>
      <c r="Q30" s="23">
        <v>19702.379157589825</v>
      </c>
      <c r="R30" s="23">
        <v>172.65851601767883</v>
      </c>
      <c r="S30" s="25">
        <f t="shared" si="6"/>
        <v>114.11182959300113</v>
      </c>
      <c r="T30" s="24"/>
      <c r="U30" s="32"/>
      <c r="V30" s="22"/>
      <c r="W30" s="24">
        <f t="shared" si="7"/>
        <v>1049498.4848521303</v>
      </c>
    </row>
    <row r="31" spans="1:23" ht="18" customHeight="1" x14ac:dyDescent="0.25">
      <c r="A31" s="21">
        <v>46052</v>
      </c>
      <c r="B31" s="23">
        <v>598218.552875611</v>
      </c>
      <c r="C31" s="23">
        <v>3739.0841293601356</v>
      </c>
      <c r="D31" s="25">
        <f t="shared" si="1"/>
        <v>159.99066407152046</v>
      </c>
      <c r="E31" s="23">
        <f t="shared" si="0"/>
        <v>803.90308781242913</v>
      </c>
      <c r="F31" s="32">
        <v>0.215</v>
      </c>
      <c r="G31" s="23">
        <v>385316.32113333308</v>
      </c>
      <c r="H31" s="23">
        <v>4798.8295666666636</v>
      </c>
      <c r="I31" s="25">
        <f t="shared" si="2"/>
        <v>80.293812434972423</v>
      </c>
      <c r="J31" s="23">
        <f t="shared" si="3"/>
        <v>1511.6313134999991</v>
      </c>
      <c r="K31" s="32">
        <v>0.315</v>
      </c>
      <c r="L31" s="23">
        <v>387358.80997651926</v>
      </c>
      <c r="M31" s="23">
        <v>2269.1626171854118</v>
      </c>
      <c r="N31" s="25">
        <f t="shared" si="4"/>
        <v>170.70561935177008</v>
      </c>
      <c r="O31" s="23">
        <f t="shared" si="5"/>
        <v>487.86996269486355</v>
      </c>
      <c r="P31" s="32">
        <v>0.215</v>
      </c>
      <c r="Q31" s="23">
        <v>18502.379157589825</v>
      </c>
      <c r="R31" s="23">
        <v>162.14251601767882</v>
      </c>
      <c r="S31" s="25">
        <f t="shared" si="6"/>
        <v>114.11182959300115</v>
      </c>
      <c r="T31" s="24"/>
      <c r="U31" s="32"/>
      <c r="V31" s="22"/>
      <c r="W31" s="24">
        <f t="shared" si="7"/>
        <v>985577.36285213032</v>
      </c>
    </row>
    <row r="32" spans="1:23" ht="18" customHeight="1" x14ac:dyDescent="0.25">
      <c r="A32" s="21">
        <v>46053</v>
      </c>
      <c r="B32" s="23">
        <v>520621.80087561102</v>
      </c>
      <c r="C32" s="23">
        <v>3254.0761293601354</v>
      </c>
      <c r="D32" s="25">
        <f t="shared" si="1"/>
        <v>159.99066407152048</v>
      </c>
      <c r="E32" s="23">
        <f t="shared" si="0"/>
        <v>699.62636781242907</v>
      </c>
      <c r="F32" s="32">
        <v>0.215</v>
      </c>
      <c r="G32" s="23">
        <v>361701.42913333309</v>
      </c>
      <c r="H32" s="23">
        <v>4504.7235666666638</v>
      </c>
      <c r="I32" s="25">
        <f t="shared" si="2"/>
        <v>80.293812434972423</v>
      </c>
      <c r="J32" s="23">
        <f t="shared" si="3"/>
        <v>1418.9879234999992</v>
      </c>
      <c r="K32" s="32">
        <v>0.315</v>
      </c>
      <c r="L32" s="23">
        <v>337113.31797651929</v>
      </c>
      <c r="M32" s="23">
        <v>1974.8226171854119</v>
      </c>
      <c r="N32" s="25">
        <f t="shared" si="4"/>
        <v>170.70561935177008</v>
      </c>
      <c r="O32" s="23">
        <f t="shared" si="5"/>
        <v>424.58686269486356</v>
      </c>
      <c r="P32" s="32">
        <v>0.215</v>
      </c>
      <c r="Q32" s="23">
        <v>16102.379157589823</v>
      </c>
      <c r="R32" s="23">
        <v>141.11051601767883</v>
      </c>
      <c r="S32" s="25">
        <f t="shared" si="6"/>
        <v>114.11182959300113</v>
      </c>
      <c r="T32" s="24"/>
      <c r="U32" s="32"/>
      <c r="V32" s="22"/>
      <c r="W32" s="24">
        <f t="shared" si="7"/>
        <v>857735.11885213037</v>
      </c>
    </row>
    <row r="33" spans="1:23" ht="18" customHeight="1" x14ac:dyDescent="0.25">
      <c r="A33" s="21">
        <v>46054</v>
      </c>
      <c r="B33" s="23">
        <v>390433.87673744455</v>
      </c>
      <c r="C33" s="23">
        <v>2396.2567904806538</v>
      </c>
      <c r="D33" s="25">
        <f t="shared" si="1"/>
        <v>162.93490676311418</v>
      </c>
      <c r="E33" s="23">
        <f t="shared" si="0"/>
        <v>515.19520995334051</v>
      </c>
      <c r="F33" s="32">
        <v>0.215</v>
      </c>
      <c r="G33" s="23">
        <v>248315.03954691556</v>
      </c>
      <c r="H33" s="23">
        <v>3062.4131783959297</v>
      </c>
      <c r="I33" s="25">
        <f t="shared" si="2"/>
        <v>81.08476063866118</v>
      </c>
      <c r="J33" s="23">
        <f t="shared" si="3"/>
        <v>964.66015119471786</v>
      </c>
      <c r="K33" s="32">
        <v>0.315</v>
      </c>
      <c r="L33" s="23">
        <v>261158.45909589206</v>
      </c>
      <c r="M33" s="23">
        <v>1525.4582891115192</v>
      </c>
      <c r="N33" s="25">
        <f t="shared" si="4"/>
        <v>171.2</v>
      </c>
      <c r="O33" s="23">
        <f t="shared" si="5"/>
        <v>327.97353215897664</v>
      </c>
      <c r="P33" s="32">
        <v>0.215</v>
      </c>
      <c r="Q33" s="23">
        <v>14700.000000000002</v>
      </c>
      <c r="R33" s="23">
        <v>126.64163505097343</v>
      </c>
      <c r="S33" s="25">
        <f t="shared" si="6"/>
        <v>116.07557020314236</v>
      </c>
      <c r="T33" s="24"/>
      <c r="U33" s="32"/>
      <c r="V33" s="22"/>
      <c r="W33" s="24">
        <f t="shared" si="7"/>
        <v>651592.33583333658</v>
      </c>
    </row>
    <row r="34" spans="1:23" ht="18" customHeight="1" x14ac:dyDescent="0.25">
      <c r="A34" s="21">
        <v>46055</v>
      </c>
      <c r="B34" s="23">
        <v>436914.10015856888</v>
      </c>
      <c r="C34" s="23">
        <v>2681.5254560140647</v>
      </c>
      <c r="D34" s="25">
        <f t="shared" si="1"/>
        <v>162.93490676311418</v>
      </c>
      <c r="E34" s="23">
        <f t="shared" ref="E34:E65" si="8">F34*C34</f>
        <v>576.52797304302396</v>
      </c>
      <c r="F34" s="32">
        <v>0.215</v>
      </c>
      <c r="G34" s="23">
        <v>277876.35377869121</v>
      </c>
      <c r="H34" s="23">
        <v>3426.9861758240163</v>
      </c>
      <c r="I34" s="25">
        <f t="shared" si="2"/>
        <v>81.08476063866118</v>
      </c>
      <c r="J34" s="23">
        <f t="shared" si="3"/>
        <v>1079.5006453845651</v>
      </c>
      <c r="K34" s="32">
        <v>0.315</v>
      </c>
      <c r="L34" s="23">
        <v>292248.75184540299</v>
      </c>
      <c r="M34" s="23">
        <v>1707.0604663866998</v>
      </c>
      <c r="N34" s="25">
        <f t="shared" si="4"/>
        <v>171.2</v>
      </c>
      <c r="O34" s="23">
        <f t="shared" si="5"/>
        <v>367.01800027314044</v>
      </c>
      <c r="P34" s="32">
        <v>0.215</v>
      </c>
      <c r="Q34" s="23">
        <v>16450</v>
      </c>
      <c r="R34" s="23">
        <v>141.71802017608931</v>
      </c>
      <c r="S34" s="25">
        <f t="shared" si="6"/>
        <v>116.07557020314236</v>
      </c>
      <c r="T34" s="24"/>
      <c r="U34" s="32"/>
      <c r="V34" s="22"/>
      <c r="W34" s="24">
        <f t="shared" si="7"/>
        <v>729162.85200397181</v>
      </c>
    </row>
    <row r="35" spans="1:23" ht="18" customHeight="1" x14ac:dyDescent="0.25">
      <c r="A35" s="21">
        <v>46056</v>
      </c>
      <c r="B35" s="23">
        <v>835980.01838850777</v>
      </c>
      <c r="C35" s="23">
        <v>5130.7607129509224</v>
      </c>
      <c r="D35" s="25">
        <f t="shared" si="1"/>
        <v>162.93490676311418</v>
      </c>
      <c r="E35" s="23">
        <f t="shared" si="8"/>
        <v>1103.1135532844482</v>
      </c>
      <c r="F35" s="32">
        <v>0.215</v>
      </c>
      <c r="G35" s="23">
        <v>531681.35168293642</v>
      </c>
      <c r="H35" s="23">
        <v>6557.1057680280173</v>
      </c>
      <c r="I35" s="25">
        <f t="shared" si="2"/>
        <v>81.084760638661194</v>
      </c>
      <c r="J35" s="23">
        <f t="shared" si="3"/>
        <v>2065.4883169288255</v>
      </c>
      <c r="K35" s="32">
        <v>0.315</v>
      </c>
      <c r="L35" s="23">
        <v>559181.12245191843</v>
      </c>
      <c r="M35" s="23">
        <v>3266.2448741350377</v>
      </c>
      <c r="N35" s="25">
        <f t="shared" si="4"/>
        <v>171.2</v>
      </c>
      <c r="O35" s="23">
        <f t="shared" si="5"/>
        <v>702.24264793903308</v>
      </c>
      <c r="P35" s="32">
        <v>0.215</v>
      </c>
      <c r="Q35" s="23">
        <v>31474.999999999996</v>
      </c>
      <c r="R35" s="23">
        <v>271.15955532172711</v>
      </c>
      <c r="S35" s="25">
        <f t="shared" si="6"/>
        <v>116.07557020314235</v>
      </c>
      <c r="T35" s="24"/>
      <c r="U35" s="32"/>
      <c r="V35" s="22"/>
      <c r="W35" s="24">
        <f t="shared" si="7"/>
        <v>1395161.1408404261</v>
      </c>
    </row>
    <row r="36" spans="1:23" ht="18" customHeight="1" x14ac:dyDescent="0.25">
      <c r="A36" s="21">
        <v>46057</v>
      </c>
      <c r="B36" s="23">
        <v>873164.19712540705</v>
      </c>
      <c r="C36" s="23">
        <v>5358.9756453776499</v>
      </c>
      <c r="D36" s="25">
        <f t="shared" si="1"/>
        <v>162.93490676311418</v>
      </c>
      <c r="E36" s="23">
        <f t="shared" si="8"/>
        <v>1152.1797637561947</v>
      </c>
      <c r="F36" s="32">
        <v>0.215</v>
      </c>
      <c r="G36" s="23">
        <v>555330.4030683568</v>
      </c>
      <c r="H36" s="23">
        <v>6848.764165970485</v>
      </c>
      <c r="I36" s="25">
        <f t="shared" si="2"/>
        <v>81.084760638661194</v>
      </c>
      <c r="J36" s="23">
        <f t="shared" si="3"/>
        <v>2157.360712280703</v>
      </c>
      <c r="K36" s="32">
        <v>0.315</v>
      </c>
      <c r="L36" s="23">
        <v>584053.35665152699</v>
      </c>
      <c r="M36" s="23">
        <v>3411.5266159551816</v>
      </c>
      <c r="N36" s="25">
        <f t="shared" si="4"/>
        <v>171.19999999999996</v>
      </c>
      <c r="O36" s="23">
        <f t="shared" si="5"/>
        <v>733.47822243036399</v>
      </c>
      <c r="P36" s="32">
        <v>0.215</v>
      </c>
      <c r="Q36" s="23">
        <v>32874.999999999985</v>
      </c>
      <c r="R36" s="23">
        <v>283.22066342181972</v>
      </c>
      <c r="S36" s="25">
        <f t="shared" si="6"/>
        <v>116.07557020314235</v>
      </c>
      <c r="T36" s="24"/>
      <c r="U36" s="32"/>
      <c r="V36" s="22"/>
      <c r="W36" s="24">
        <f t="shared" si="7"/>
        <v>1457217.553776934</v>
      </c>
    </row>
    <row r="37" spans="1:23" ht="18" customHeight="1" x14ac:dyDescent="0.25">
      <c r="A37" s="21">
        <v>46058</v>
      </c>
      <c r="B37" s="23">
        <v>928940.46523075632</v>
      </c>
      <c r="C37" s="23">
        <v>5701.2980440177435</v>
      </c>
      <c r="D37" s="25">
        <f t="shared" si="1"/>
        <v>162.93490676311418</v>
      </c>
      <c r="E37" s="23">
        <f t="shared" si="8"/>
        <v>1225.7790794638149</v>
      </c>
      <c r="F37" s="32">
        <v>0.215</v>
      </c>
      <c r="G37" s="23">
        <v>590803.98014648759</v>
      </c>
      <c r="H37" s="23">
        <v>7286.2517628841897</v>
      </c>
      <c r="I37" s="25">
        <f t="shared" si="2"/>
        <v>81.08476063866118</v>
      </c>
      <c r="J37" s="23">
        <f t="shared" si="3"/>
        <v>2295.1693053085196</v>
      </c>
      <c r="K37" s="32">
        <v>0.315</v>
      </c>
      <c r="L37" s="23">
        <v>621361.70795094024</v>
      </c>
      <c r="M37" s="23">
        <v>3629.4492286853988</v>
      </c>
      <c r="N37" s="25">
        <f t="shared" si="4"/>
        <v>171.2</v>
      </c>
      <c r="O37" s="23">
        <f t="shared" si="5"/>
        <v>780.33158416736069</v>
      </c>
      <c r="P37" s="32">
        <v>0.215</v>
      </c>
      <c r="Q37" s="23">
        <v>34974.999999999985</v>
      </c>
      <c r="R37" s="23">
        <v>301.31232557195881</v>
      </c>
      <c r="S37" s="25">
        <f t="shared" si="6"/>
        <v>116.07557020314233</v>
      </c>
      <c r="T37" s="24"/>
      <c r="U37" s="32"/>
      <c r="V37" s="22"/>
      <c r="W37" s="24">
        <f t="shared" si="7"/>
        <v>1550302.1731816966</v>
      </c>
    </row>
    <row r="38" spans="1:23" ht="18" customHeight="1" x14ac:dyDescent="0.25">
      <c r="A38" s="21">
        <v>46059</v>
      </c>
      <c r="B38" s="23">
        <v>984716.73333610559</v>
      </c>
      <c r="C38" s="23">
        <v>6043.620442657837</v>
      </c>
      <c r="D38" s="25">
        <f t="shared" si="1"/>
        <v>162.93490676311418</v>
      </c>
      <c r="E38" s="23">
        <f t="shared" si="8"/>
        <v>1299.3783951714349</v>
      </c>
      <c r="F38" s="32">
        <v>0.215</v>
      </c>
      <c r="G38" s="23">
        <v>626277.55722461839</v>
      </c>
      <c r="H38" s="23">
        <v>7723.7393597978944</v>
      </c>
      <c r="I38" s="25">
        <f t="shared" si="2"/>
        <v>81.08476063866118</v>
      </c>
      <c r="J38" s="23">
        <f t="shared" si="3"/>
        <v>2432.9778983363367</v>
      </c>
      <c r="K38" s="32">
        <v>0.315</v>
      </c>
      <c r="L38" s="23">
        <v>658670.05925035337</v>
      </c>
      <c r="M38" s="23">
        <v>3847.371841415616</v>
      </c>
      <c r="N38" s="25">
        <f t="shared" si="4"/>
        <v>171.2</v>
      </c>
      <c r="O38" s="23">
        <f t="shared" si="5"/>
        <v>827.18494590435739</v>
      </c>
      <c r="P38" s="32">
        <v>0.215</v>
      </c>
      <c r="Q38" s="23">
        <v>37074.999999999993</v>
      </c>
      <c r="R38" s="23">
        <v>319.4039877220979</v>
      </c>
      <c r="S38" s="25">
        <f t="shared" si="6"/>
        <v>116.07557020314235</v>
      </c>
      <c r="T38" s="24"/>
      <c r="U38" s="32"/>
      <c r="V38" s="22"/>
      <c r="W38" s="24">
        <f t="shared" si="7"/>
        <v>1643386.7925864588</v>
      </c>
    </row>
    <row r="39" spans="1:23" ht="18" customHeight="1" x14ac:dyDescent="0.25">
      <c r="A39" s="21">
        <v>46060</v>
      </c>
      <c r="B39" s="23">
        <v>520578.50231659273</v>
      </c>
      <c r="C39" s="23">
        <v>3195.009053974205</v>
      </c>
      <c r="D39" s="25">
        <f t="shared" si="1"/>
        <v>162.93490676311418</v>
      </c>
      <c r="E39" s="23">
        <f t="shared" si="8"/>
        <v>686.92694660445409</v>
      </c>
      <c r="F39" s="32">
        <v>0.215</v>
      </c>
      <c r="G39" s="23">
        <v>331086.7193958874</v>
      </c>
      <c r="H39" s="23">
        <v>4083.2175711945724</v>
      </c>
      <c r="I39" s="25">
        <f t="shared" si="2"/>
        <v>81.08476063866118</v>
      </c>
      <c r="J39" s="23">
        <f t="shared" si="3"/>
        <v>1286.2135349262903</v>
      </c>
      <c r="K39" s="32">
        <v>0.315</v>
      </c>
      <c r="L39" s="23">
        <v>348211.27879452275</v>
      </c>
      <c r="M39" s="23">
        <v>2033.9443854820254</v>
      </c>
      <c r="N39" s="25">
        <f t="shared" si="4"/>
        <v>171.2</v>
      </c>
      <c r="O39" s="23">
        <f t="shared" si="5"/>
        <v>437.29804287863544</v>
      </c>
      <c r="P39" s="32">
        <v>0.215</v>
      </c>
      <c r="Q39" s="23">
        <v>19600</v>
      </c>
      <c r="R39" s="23">
        <v>168.85551340129791</v>
      </c>
      <c r="S39" s="25">
        <f t="shared" si="6"/>
        <v>116.07557020314235</v>
      </c>
      <c r="T39" s="24"/>
      <c r="U39" s="32"/>
      <c r="V39" s="22"/>
      <c r="W39" s="24">
        <f t="shared" si="7"/>
        <v>868789.78111111547</v>
      </c>
    </row>
    <row r="40" spans="1:23" ht="18" customHeight="1" x14ac:dyDescent="0.25">
      <c r="A40" s="21">
        <v>46061</v>
      </c>
      <c r="B40" s="23">
        <v>427618.055474344</v>
      </c>
      <c r="C40" s="23">
        <v>2624.4717229073826</v>
      </c>
      <c r="D40" s="25">
        <f t="shared" si="1"/>
        <v>162.93490676311418</v>
      </c>
      <c r="E40" s="23">
        <f t="shared" si="8"/>
        <v>564.26142042508729</v>
      </c>
      <c r="F40" s="32">
        <v>0.215</v>
      </c>
      <c r="G40" s="23">
        <v>271964.09093233605</v>
      </c>
      <c r="H40" s="23">
        <v>3354.0715763383987</v>
      </c>
      <c r="I40" s="25">
        <f t="shared" si="2"/>
        <v>81.08476063866118</v>
      </c>
      <c r="J40" s="23">
        <f t="shared" si="3"/>
        <v>1056.5325465465955</v>
      </c>
      <c r="K40" s="32">
        <v>0.315</v>
      </c>
      <c r="L40" s="23">
        <v>286030.69329550082</v>
      </c>
      <c r="M40" s="23">
        <v>1670.7400309316638</v>
      </c>
      <c r="N40" s="25">
        <f t="shared" si="4"/>
        <v>171.2</v>
      </c>
      <c r="O40" s="23">
        <f t="shared" si="5"/>
        <v>359.20910665030772</v>
      </c>
      <c r="P40" s="32">
        <v>0.215</v>
      </c>
      <c r="Q40" s="23">
        <v>16100</v>
      </c>
      <c r="R40" s="23">
        <v>138.70274315106613</v>
      </c>
      <c r="S40" s="25">
        <f t="shared" si="6"/>
        <v>116.07557020314236</v>
      </c>
      <c r="T40" s="24"/>
      <c r="U40" s="32"/>
      <c r="V40" s="22"/>
      <c r="W40" s="24">
        <f t="shared" si="7"/>
        <v>713648.74876984488</v>
      </c>
    </row>
    <row r="41" spans="1:23" ht="18" customHeight="1" x14ac:dyDescent="0.25">
      <c r="A41" s="21">
        <v>46062</v>
      </c>
      <c r="B41" s="23">
        <v>835980.01838850777</v>
      </c>
      <c r="C41" s="23">
        <v>5130.7607129509224</v>
      </c>
      <c r="D41" s="25">
        <f t="shared" si="1"/>
        <v>162.93490676311418</v>
      </c>
      <c r="E41" s="23">
        <f t="shared" si="8"/>
        <v>1103.1135532844482</v>
      </c>
      <c r="F41" s="32">
        <v>0.215</v>
      </c>
      <c r="G41" s="23">
        <v>531681.35168293642</v>
      </c>
      <c r="H41" s="23">
        <v>6557.1057680280173</v>
      </c>
      <c r="I41" s="25">
        <f t="shared" si="2"/>
        <v>81.084760638661194</v>
      </c>
      <c r="J41" s="23">
        <f t="shared" si="3"/>
        <v>2065.4883169288255</v>
      </c>
      <c r="K41" s="32">
        <v>0.315</v>
      </c>
      <c r="L41" s="23">
        <v>559181.12245191843</v>
      </c>
      <c r="M41" s="23">
        <v>3266.2448741350377</v>
      </c>
      <c r="N41" s="25">
        <f t="shared" si="4"/>
        <v>171.2</v>
      </c>
      <c r="O41" s="23">
        <f t="shared" si="5"/>
        <v>702.24264793903308</v>
      </c>
      <c r="P41" s="32">
        <v>0.215</v>
      </c>
      <c r="Q41" s="23">
        <v>31474.999999999996</v>
      </c>
      <c r="R41" s="23">
        <v>271.15955532172711</v>
      </c>
      <c r="S41" s="25">
        <f t="shared" si="6"/>
        <v>116.07557020314235</v>
      </c>
      <c r="T41" s="24"/>
      <c r="U41" s="32"/>
      <c r="V41" s="22"/>
      <c r="W41" s="24">
        <f t="shared" si="7"/>
        <v>1395161.1408404261</v>
      </c>
    </row>
    <row r="42" spans="1:23" ht="18" customHeight="1" x14ac:dyDescent="0.25">
      <c r="A42" s="21">
        <v>46063</v>
      </c>
      <c r="B42" s="23">
        <v>863868.15244118217</v>
      </c>
      <c r="C42" s="23">
        <v>5301.9219122709674</v>
      </c>
      <c r="D42" s="25">
        <f t="shared" si="1"/>
        <v>162.93490676311418</v>
      </c>
      <c r="E42" s="23">
        <f t="shared" si="8"/>
        <v>1139.913211138258</v>
      </c>
      <c r="F42" s="32">
        <v>0.215</v>
      </c>
      <c r="G42" s="23">
        <v>549418.1402220017</v>
      </c>
      <c r="H42" s="23">
        <v>6775.8495664848679</v>
      </c>
      <c r="I42" s="25">
        <f t="shared" si="2"/>
        <v>81.084760638661194</v>
      </c>
      <c r="J42" s="23">
        <f t="shared" si="3"/>
        <v>2134.3926134427334</v>
      </c>
      <c r="K42" s="32">
        <v>0.315</v>
      </c>
      <c r="L42" s="23">
        <v>577835.29810162482</v>
      </c>
      <c r="M42" s="23">
        <v>3375.2061805001454</v>
      </c>
      <c r="N42" s="25">
        <f t="shared" si="4"/>
        <v>171.2</v>
      </c>
      <c r="O42" s="23">
        <f t="shared" si="5"/>
        <v>725.6693288075312</v>
      </c>
      <c r="P42" s="32">
        <v>0.215</v>
      </c>
      <c r="Q42" s="23">
        <v>32524.999999999985</v>
      </c>
      <c r="R42" s="23">
        <v>280.20538639679654</v>
      </c>
      <c r="S42" s="25">
        <f t="shared" si="6"/>
        <v>116.07557020314235</v>
      </c>
      <c r="T42" s="24"/>
      <c r="U42" s="32"/>
      <c r="V42" s="22"/>
      <c r="W42" s="24">
        <f t="shared" si="7"/>
        <v>1441703.4505428071</v>
      </c>
    </row>
    <row r="43" spans="1:23" ht="18" customHeight="1" x14ac:dyDescent="0.25">
      <c r="A43" s="21">
        <v>46064</v>
      </c>
      <c r="B43" s="23">
        <v>882460.24180963193</v>
      </c>
      <c r="C43" s="23">
        <v>5416.0293784843325</v>
      </c>
      <c r="D43" s="25">
        <f t="shared" si="1"/>
        <v>162.93490676311418</v>
      </c>
      <c r="E43" s="23">
        <f t="shared" si="8"/>
        <v>1164.4463163741314</v>
      </c>
      <c r="F43" s="32">
        <v>0.215</v>
      </c>
      <c r="G43" s="23">
        <v>561242.66591471189</v>
      </c>
      <c r="H43" s="23">
        <v>6921.6787654561031</v>
      </c>
      <c r="I43" s="25">
        <f t="shared" si="2"/>
        <v>81.08476063866118</v>
      </c>
      <c r="J43" s="23">
        <f t="shared" si="3"/>
        <v>2180.3288111186725</v>
      </c>
      <c r="K43" s="32">
        <v>0.315</v>
      </c>
      <c r="L43" s="23">
        <v>590271.41520142916</v>
      </c>
      <c r="M43" s="23">
        <v>3447.8470514102178</v>
      </c>
      <c r="N43" s="25">
        <f t="shared" si="4"/>
        <v>171.19999999999996</v>
      </c>
      <c r="O43" s="23">
        <f t="shared" si="5"/>
        <v>741.28711605319677</v>
      </c>
      <c r="P43" s="32">
        <v>0.215</v>
      </c>
      <c r="Q43" s="23">
        <v>33224.999999999985</v>
      </c>
      <c r="R43" s="23">
        <v>286.2359404468429</v>
      </c>
      <c r="S43" s="25">
        <f t="shared" si="6"/>
        <v>116.07557020314235</v>
      </c>
      <c r="T43" s="24"/>
      <c r="U43" s="32"/>
      <c r="V43" s="22"/>
      <c r="W43" s="24">
        <f t="shared" si="7"/>
        <v>1472731.657011061</v>
      </c>
    </row>
    <row r="44" spans="1:23" ht="18" customHeight="1" x14ac:dyDescent="0.25">
      <c r="A44" s="21">
        <v>46065</v>
      </c>
      <c r="B44" s="23">
        <v>854572.10775695753</v>
      </c>
      <c r="C44" s="23">
        <v>5244.8681791642866</v>
      </c>
      <c r="D44" s="25">
        <f t="shared" si="1"/>
        <v>162.93490676311418</v>
      </c>
      <c r="E44" s="23">
        <f t="shared" si="8"/>
        <v>1127.6466585203216</v>
      </c>
      <c r="F44" s="32">
        <v>0.215</v>
      </c>
      <c r="G44" s="23">
        <v>543505.87737564673</v>
      </c>
      <c r="H44" s="23">
        <v>6702.9349669992525</v>
      </c>
      <c r="I44" s="25">
        <f t="shared" si="2"/>
        <v>81.084760638661194</v>
      </c>
      <c r="J44" s="23">
        <f t="shared" si="3"/>
        <v>2111.4245146047647</v>
      </c>
      <c r="K44" s="32">
        <v>0.315</v>
      </c>
      <c r="L44" s="23">
        <v>571617.23955172277</v>
      </c>
      <c r="M44" s="23">
        <v>3338.8857450451101</v>
      </c>
      <c r="N44" s="25">
        <f t="shared" si="4"/>
        <v>171.2</v>
      </c>
      <c r="O44" s="23">
        <f t="shared" si="5"/>
        <v>717.86043518469864</v>
      </c>
      <c r="P44" s="32">
        <v>0.215</v>
      </c>
      <c r="Q44" s="23">
        <v>32174.999999999996</v>
      </c>
      <c r="R44" s="23">
        <v>277.19010937177342</v>
      </c>
      <c r="S44" s="25">
        <f t="shared" si="6"/>
        <v>116.07557020314236</v>
      </c>
      <c r="T44" s="24"/>
      <c r="U44" s="32"/>
      <c r="V44" s="22"/>
      <c r="W44" s="24">
        <f t="shared" si="7"/>
        <v>1426189.3473086804</v>
      </c>
    </row>
    <row r="45" spans="1:23" ht="18" customHeight="1" x14ac:dyDescent="0.25">
      <c r="A45" s="21">
        <v>46066</v>
      </c>
      <c r="B45" s="23">
        <v>845276.06307273265</v>
      </c>
      <c r="C45" s="23">
        <v>5187.814446057605</v>
      </c>
      <c r="D45" s="25">
        <f t="shared" si="1"/>
        <v>162.93490676311416</v>
      </c>
      <c r="E45" s="23">
        <f t="shared" si="8"/>
        <v>1115.3801059023851</v>
      </c>
      <c r="F45" s="32">
        <v>0.215</v>
      </c>
      <c r="G45" s="23">
        <v>537593.61452929152</v>
      </c>
      <c r="H45" s="23">
        <v>6630.0203675136354</v>
      </c>
      <c r="I45" s="25">
        <f t="shared" si="2"/>
        <v>81.08476063866118</v>
      </c>
      <c r="J45" s="23">
        <f t="shared" si="3"/>
        <v>2088.4564157667951</v>
      </c>
      <c r="K45" s="32">
        <v>0.315</v>
      </c>
      <c r="L45" s="23">
        <v>565399.1810018206</v>
      </c>
      <c r="M45" s="23">
        <v>3302.5653095900739</v>
      </c>
      <c r="N45" s="25">
        <f t="shared" si="4"/>
        <v>171.2</v>
      </c>
      <c r="O45" s="23">
        <f t="shared" si="5"/>
        <v>710.05154156186586</v>
      </c>
      <c r="P45" s="32">
        <v>0.215</v>
      </c>
      <c r="Q45" s="23">
        <v>31824.999999999996</v>
      </c>
      <c r="R45" s="23">
        <v>274.17483234675024</v>
      </c>
      <c r="S45" s="25">
        <f t="shared" si="6"/>
        <v>116.07557020314236</v>
      </c>
      <c r="T45" s="24"/>
      <c r="U45" s="32"/>
      <c r="V45" s="22"/>
      <c r="W45" s="24">
        <f t="shared" si="7"/>
        <v>1410675.2440745533</v>
      </c>
    </row>
    <row r="46" spans="1:23" ht="18" customHeight="1" x14ac:dyDescent="0.25">
      <c r="A46" s="21">
        <v>46067</v>
      </c>
      <c r="B46" s="23">
        <v>483394.32357969321</v>
      </c>
      <c r="C46" s="23">
        <v>2966.7941215474757</v>
      </c>
      <c r="D46" s="25">
        <f t="shared" si="1"/>
        <v>162.93490676311418</v>
      </c>
      <c r="E46" s="23">
        <f t="shared" si="8"/>
        <v>637.8607361327073</v>
      </c>
      <c r="F46" s="32">
        <v>0.215</v>
      </c>
      <c r="G46" s="23">
        <v>307437.66801046685</v>
      </c>
      <c r="H46" s="23">
        <v>3791.5591732521029</v>
      </c>
      <c r="I46" s="25">
        <f t="shared" si="2"/>
        <v>81.08476063866118</v>
      </c>
      <c r="J46" s="23">
        <f t="shared" si="3"/>
        <v>1194.3411395744124</v>
      </c>
      <c r="K46" s="32">
        <v>0.315</v>
      </c>
      <c r="L46" s="23">
        <v>323339.04459491395</v>
      </c>
      <c r="M46" s="23">
        <v>1888.6626436618806</v>
      </c>
      <c r="N46" s="25">
        <f t="shared" si="4"/>
        <v>171.2</v>
      </c>
      <c r="O46" s="23">
        <f t="shared" si="5"/>
        <v>406.06246838730431</v>
      </c>
      <c r="P46" s="32">
        <v>0.215</v>
      </c>
      <c r="Q46" s="23">
        <v>18200</v>
      </c>
      <c r="R46" s="23">
        <v>156.79440530120519</v>
      </c>
      <c r="S46" s="25">
        <f t="shared" si="6"/>
        <v>116.07557020314236</v>
      </c>
      <c r="T46" s="24"/>
      <c r="U46" s="32"/>
      <c r="V46" s="22"/>
      <c r="W46" s="24">
        <f t="shared" si="7"/>
        <v>806733.36817460717</v>
      </c>
    </row>
    <row r="47" spans="1:23" ht="18" customHeight="1" x14ac:dyDescent="0.25">
      <c r="A47" s="21">
        <v>46068</v>
      </c>
      <c r="B47" s="23">
        <v>390433.87673744455</v>
      </c>
      <c r="C47" s="23">
        <v>2396.2567904806538</v>
      </c>
      <c r="D47" s="25">
        <f t="shared" si="1"/>
        <v>162.93490676311418</v>
      </c>
      <c r="E47" s="23">
        <f t="shared" si="8"/>
        <v>515.19520995334051</v>
      </c>
      <c r="F47" s="32">
        <v>0.215</v>
      </c>
      <c r="G47" s="23">
        <v>248315.03954691556</v>
      </c>
      <c r="H47" s="23">
        <v>3062.4131783959297</v>
      </c>
      <c r="I47" s="25">
        <f t="shared" si="2"/>
        <v>81.08476063866118</v>
      </c>
      <c r="J47" s="23">
        <f t="shared" si="3"/>
        <v>964.66015119471786</v>
      </c>
      <c r="K47" s="32">
        <v>0.315</v>
      </c>
      <c r="L47" s="23">
        <v>261158.45909589206</v>
      </c>
      <c r="M47" s="23">
        <v>1525.4582891115192</v>
      </c>
      <c r="N47" s="25">
        <f t="shared" si="4"/>
        <v>171.2</v>
      </c>
      <c r="O47" s="23">
        <f t="shared" si="5"/>
        <v>327.97353215897664</v>
      </c>
      <c r="P47" s="32">
        <v>0.215</v>
      </c>
      <c r="Q47" s="23">
        <v>14700.000000000002</v>
      </c>
      <c r="R47" s="23">
        <v>126.64163505097343</v>
      </c>
      <c r="S47" s="25">
        <f t="shared" si="6"/>
        <v>116.07557020314236</v>
      </c>
      <c r="T47" s="24"/>
      <c r="U47" s="32"/>
      <c r="V47" s="22"/>
      <c r="W47" s="24">
        <f t="shared" si="7"/>
        <v>651592.33583333658</v>
      </c>
    </row>
    <row r="48" spans="1:23" ht="18" customHeight="1" x14ac:dyDescent="0.25">
      <c r="A48" s="21">
        <v>46069</v>
      </c>
      <c r="B48" s="23">
        <v>409025.96610589424</v>
      </c>
      <c r="C48" s="23">
        <v>2510.364256694018</v>
      </c>
      <c r="D48" s="25">
        <f t="shared" si="1"/>
        <v>162.93490676311418</v>
      </c>
      <c r="E48" s="23">
        <f t="shared" si="8"/>
        <v>539.72831518921384</v>
      </c>
      <c r="F48" s="32">
        <v>0.215</v>
      </c>
      <c r="G48" s="23">
        <v>260139.56523962578</v>
      </c>
      <c r="H48" s="23">
        <v>3208.242377367164</v>
      </c>
      <c r="I48" s="25">
        <f t="shared" si="2"/>
        <v>81.08476063866118</v>
      </c>
      <c r="J48" s="23">
        <f t="shared" si="3"/>
        <v>1010.5963488706567</v>
      </c>
      <c r="K48" s="32">
        <v>0.315</v>
      </c>
      <c r="L48" s="23">
        <v>273594.57619569643</v>
      </c>
      <c r="M48" s="23">
        <v>1598.0991600215914</v>
      </c>
      <c r="N48" s="25">
        <f t="shared" si="4"/>
        <v>171.2</v>
      </c>
      <c r="O48" s="23">
        <f t="shared" si="5"/>
        <v>343.59131940464215</v>
      </c>
      <c r="P48" s="32">
        <v>0.215</v>
      </c>
      <c r="Q48" s="23">
        <v>15400</v>
      </c>
      <c r="R48" s="23">
        <v>132.67218910101977</v>
      </c>
      <c r="S48" s="25">
        <f t="shared" si="6"/>
        <v>116.07557020314236</v>
      </c>
      <c r="T48" s="24"/>
      <c r="U48" s="32"/>
      <c r="V48" s="22"/>
      <c r="W48" s="24">
        <f t="shared" si="7"/>
        <v>682620.54230159067</v>
      </c>
    </row>
    <row r="49" spans="1:23" ht="18" customHeight="1" x14ac:dyDescent="0.25">
      <c r="A49" s="21">
        <v>46070</v>
      </c>
      <c r="B49" s="23">
        <v>316065.51926364558</v>
      </c>
      <c r="C49" s="23">
        <v>1939.826925627196</v>
      </c>
      <c r="D49" s="25">
        <f t="shared" si="1"/>
        <v>162.93490676311416</v>
      </c>
      <c r="E49" s="23">
        <f t="shared" si="8"/>
        <v>417.06278900984717</v>
      </c>
      <c r="F49" s="32">
        <v>0.215</v>
      </c>
      <c r="G49" s="23">
        <v>201016.93677607449</v>
      </c>
      <c r="H49" s="23">
        <v>2479.0963825109907</v>
      </c>
      <c r="I49" s="25">
        <f t="shared" si="2"/>
        <v>81.08476063866118</v>
      </c>
      <c r="J49" s="23">
        <f t="shared" si="3"/>
        <v>780.91536049096203</v>
      </c>
      <c r="K49" s="32">
        <v>0.315</v>
      </c>
      <c r="L49" s="23">
        <v>211413.99069667453</v>
      </c>
      <c r="M49" s="23">
        <v>1234.8948054712298</v>
      </c>
      <c r="N49" s="25">
        <f t="shared" si="4"/>
        <v>171.2</v>
      </c>
      <c r="O49" s="23">
        <f t="shared" si="5"/>
        <v>265.50238317631442</v>
      </c>
      <c r="P49" s="32">
        <v>0.215</v>
      </c>
      <c r="Q49" s="23">
        <v>11900</v>
      </c>
      <c r="R49" s="23">
        <v>102.51941885078803</v>
      </c>
      <c r="S49" s="25">
        <f t="shared" si="6"/>
        <v>116.07557020314233</v>
      </c>
      <c r="T49" s="24"/>
      <c r="U49" s="32"/>
      <c r="V49" s="22"/>
      <c r="W49" s="24">
        <f t="shared" si="7"/>
        <v>527479.50996032008</v>
      </c>
    </row>
    <row r="50" spans="1:23" ht="18" customHeight="1" x14ac:dyDescent="0.25">
      <c r="A50" s="21">
        <v>46071</v>
      </c>
      <c r="B50" s="23">
        <v>520578.50231659273</v>
      </c>
      <c r="C50" s="23">
        <v>3195.009053974205</v>
      </c>
      <c r="D50" s="25">
        <f t="shared" si="1"/>
        <v>162.93490676311418</v>
      </c>
      <c r="E50" s="23">
        <f t="shared" si="8"/>
        <v>686.92694660445409</v>
      </c>
      <c r="F50" s="32">
        <v>0.215</v>
      </c>
      <c r="G50" s="23">
        <v>331086.7193958874</v>
      </c>
      <c r="H50" s="23">
        <v>4083.2175711945724</v>
      </c>
      <c r="I50" s="25">
        <f t="shared" si="2"/>
        <v>81.08476063866118</v>
      </c>
      <c r="J50" s="23">
        <f t="shared" si="3"/>
        <v>1286.2135349262903</v>
      </c>
      <c r="K50" s="32">
        <v>0.315</v>
      </c>
      <c r="L50" s="23">
        <v>348211.27879452275</v>
      </c>
      <c r="M50" s="23">
        <v>2033.9443854820254</v>
      </c>
      <c r="N50" s="25">
        <f t="shared" si="4"/>
        <v>171.2</v>
      </c>
      <c r="O50" s="23">
        <f t="shared" si="5"/>
        <v>437.29804287863544</v>
      </c>
      <c r="P50" s="32">
        <v>0.215</v>
      </c>
      <c r="Q50" s="23">
        <v>19600</v>
      </c>
      <c r="R50" s="23">
        <v>168.85551340129791</v>
      </c>
      <c r="S50" s="25">
        <f t="shared" si="6"/>
        <v>116.07557020314235</v>
      </c>
      <c r="T50" s="24"/>
      <c r="U50" s="32"/>
      <c r="V50" s="22"/>
      <c r="W50" s="24">
        <f t="shared" si="7"/>
        <v>868789.78111111547</v>
      </c>
    </row>
    <row r="51" spans="1:23" ht="18" customHeight="1" x14ac:dyDescent="0.25">
      <c r="A51" s="21">
        <v>46072</v>
      </c>
      <c r="B51" s="23">
        <v>632131.03852729115</v>
      </c>
      <c r="C51" s="23">
        <v>3879.6538512543921</v>
      </c>
      <c r="D51" s="25">
        <f t="shared" si="1"/>
        <v>162.93490676311416</v>
      </c>
      <c r="E51" s="23">
        <f t="shared" si="8"/>
        <v>834.12557801969433</v>
      </c>
      <c r="F51" s="32">
        <v>0.215</v>
      </c>
      <c r="G51" s="23">
        <v>402033.87355214899</v>
      </c>
      <c r="H51" s="23">
        <v>4958.1927650219814</v>
      </c>
      <c r="I51" s="25">
        <f t="shared" si="2"/>
        <v>81.08476063866118</v>
      </c>
      <c r="J51" s="23">
        <f t="shared" si="3"/>
        <v>1561.8307209819241</v>
      </c>
      <c r="K51" s="32">
        <v>0.315</v>
      </c>
      <c r="L51" s="23">
        <v>422827.98139334907</v>
      </c>
      <c r="M51" s="23">
        <v>2469.7896109424596</v>
      </c>
      <c r="N51" s="25">
        <f t="shared" si="4"/>
        <v>171.2</v>
      </c>
      <c r="O51" s="23">
        <f t="shared" si="5"/>
        <v>531.00476635262885</v>
      </c>
      <c r="P51" s="32">
        <v>0.215</v>
      </c>
      <c r="Q51" s="23">
        <v>23800</v>
      </c>
      <c r="R51" s="23">
        <v>205.03883770157606</v>
      </c>
      <c r="S51" s="25">
        <f t="shared" si="6"/>
        <v>116.07557020314233</v>
      </c>
      <c r="T51" s="24"/>
      <c r="U51" s="32"/>
      <c r="V51" s="22"/>
      <c r="W51" s="24">
        <f t="shared" si="7"/>
        <v>1054959.0199206402</v>
      </c>
    </row>
    <row r="52" spans="1:23" ht="18" customHeight="1" x14ac:dyDescent="0.25">
      <c r="A52" s="21">
        <v>46073</v>
      </c>
      <c r="B52" s="23">
        <v>641427.08321151603</v>
      </c>
      <c r="C52" s="23">
        <v>3936.7075843610742</v>
      </c>
      <c r="D52" s="25">
        <f t="shared" si="1"/>
        <v>162.93490676311416</v>
      </c>
      <c r="E52" s="23">
        <f t="shared" si="8"/>
        <v>846.39213063763088</v>
      </c>
      <c r="F52" s="32">
        <v>0.215</v>
      </c>
      <c r="G52" s="23">
        <v>407946.13639850414</v>
      </c>
      <c r="H52" s="23">
        <v>5031.1073645075985</v>
      </c>
      <c r="I52" s="25">
        <f t="shared" si="2"/>
        <v>81.08476063866118</v>
      </c>
      <c r="J52" s="23">
        <f t="shared" si="3"/>
        <v>1584.7988198198937</v>
      </c>
      <c r="K52" s="32">
        <v>0.315</v>
      </c>
      <c r="L52" s="23">
        <v>429046.03994325123</v>
      </c>
      <c r="M52" s="23">
        <v>2506.1100463974958</v>
      </c>
      <c r="N52" s="25">
        <f t="shared" si="4"/>
        <v>171.2</v>
      </c>
      <c r="O52" s="23">
        <f t="shared" si="5"/>
        <v>538.81365997546163</v>
      </c>
      <c r="P52" s="32">
        <v>0.215</v>
      </c>
      <c r="Q52" s="23">
        <v>24150.000000000004</v>
      </c>
      <c r="R52" s="23">
        <v>208.05411472659924</v>
      </c>
      <c r="S52" s="25">
        <f t="shared" si="6"/>
        <v>116.07557020314236</v>
      </c>
      <c r="T52" s="24"/>
      <c r="U52" s="32"/>
      <c r="V52" s="22"/>
      <c r="W52" s="24">
        <f t="shared" si="7"/>
        <v>1070473.1231547673</v>
      </c>
    </row>
    <row r="53" spans="1:23" ht="18" customHeight="1" x14ac:dyDescent="0.25">
      <c r="A53" s="21">
        <v>46074</v>
      </c>
      <c r="B53" s="23">
        <v>483394.32357969321</v>
      </c>
      <c r="C53" s="23">
        <v>2966.7941215474757</v>
      </c>
      <c r="D53" s="25">
        <f t="shared" si="1"/>
        <v>162.93490676311418</v>
      </c>
      <c r="E53" s="23">
        <f t="shared" si="8"/>
        <v>637.8607361327073</v>
      </c>
      <c r="F53" s="32">
        <v>0.215</v>
      </c>
      <c r="G53" s="23">
        <v>307437.66801046685</v>
      </c>
      <c r="H53" s="23">
        <v>3791.5591732521029</v>
      </c>
      <c r="I53" s="25">
        <f t="shared" si="2"/>
        <v>81.08476063866118</v>
      </c>
      <c r="J53" s="23">
        <f t="shared" si="3"/>
        <v>1194.3411395744124</v>
      </c>
      <c r="K53" s="32">
        <v>0.315</v>
      </c>
      <c r="L53" s="23">
        <v>323339.04459491395</v>
      </c>
      <c r="M53" s="23">
        <v>1888.6626436618806</v>
      </c>
      <c r="N53" s="25">
        <f t="shared" si="4"/>
        <v>171.2</v>
      </c>
      <c r="O53" s="23">
        <f t="shared" si="5"/>
        <v>406.06246838730431</v>
      </c>
      <c r="P53" s="32">
        <v>0.215</v>
      </c>
      <c r="Q53" s="23">
        <v>18200</v>
      </c>
      <c r="R53" s="23">
        <v>156.79440530120519</v>
      </c>
      <c r="S53" s="25">
        <f t="shared" si="6"/>
        <v>116.07557020314236</v>
      </c>
      <c r="T53" s="24"/>
      <c r="U53" s="32"/>
      <c r="V53" s="22"/>
      <c r="W53" s="24">
        <f t="shared" si="7"/>
        <v>806733.36817460717</v>
      </c>
    </row>
    <row r="54" spans="1:23" ht="18" customHeight="1" x14ac:dyDescent="0.25">
      <c r="A54" s="21">
        <v>46075</v>
      </c>
      <c r="B54" s="23">
        <v>390433.87673744455</v>
      </c>
      <c r="C54" s="23">
        <v>2396.2567904806538</v>
      </c>
      <c r="D54" s="25">
        <f t="shared" si="1"/>
        <v>162.93490676311418</v>
      </c>
      <c r="E54" s="23">
        <f t="shared" si="8"/>
        <v>515.19520995334051</v>
      </c>
      <c r="F54" s="32">
        <v>0.215</v>
      </c>
      <c r="G54" s="23">
        <v>248315.03954691556</v>
      </c>
      <c r="H54" s="23">
        <v>3062.4131783959297</v>
      </c>
      <c r="I54" s="25">
        <f t="shared" si="2"/>
        <v>81.08476063866118</v>
      </c>
      <c r="J54" s="23">
        <f t="shared" si="3"/>
        <v>964.66015119471786</v>
      </c>
      <c r="K54" s="32">
        <v>0.315</v>
      </c>
      <c r="L54" s="23">
        <v>261158.45909589206</v>
      </c>
      <c r="M54" s="23">
        <v>1525.4582891115192</v>
      </c>
      <c r="N54" s="25">
        <f t="shared" si="4"/>
        <v>171.2</v>
      </c>
      <c r="O54" s="23">
        <f t="shared" si="5"/>
        <v>327.97353215897664</v>
      </c>
      <c r="P54" s="32">
        <v>0.215</v>
      </c>
      <c r="Q54" s="23">
        <v>14700.000000000002</v>
      </c>
      <c r="R54" s="23">
        <v>126.64163505097343</v>
      </c>
      <c r="S54" s="25">
        <f t="shared" si="6"/>
        <v>116.07557020314236</v>
      </c>
      <c r="T54" s="24"/>
      <c r="U54" s="32"/>
      <c r="V54" s="22"/>
      <c r="W54" s="24">
        <f t="shared" si="7"/>
        <v>651592.33583333658</v>
      </c>
    </row>
    <row r="55" spans="1:23" ht="18" customHeight="1" x14ac:dyDescent="0.25">
      <c r="A55" s="21">
        <v>46076</v>
      </c>
      <c r="B55" s="23">
        <v>780203.7502831585</v>
      </c>
      <c r="C55" s="23">
        <v>4788.4383143108289</v>
      </c>
      <c r="D55" s="25">
        <f t="shared" si="1"/>
        <v>162.93490676311418</v>
      </c>
      <c r="E55" s="23">
        <f t="shared" si="8"/>
        <v>1029.5142375768282</v>
      </c>
      <c r="F55" s="32">
        <v>0.215</v>
      </c>
      <c r="G55" s="23">
        <v>496207.77460480557</v>
      </c>
      <c r="H55" s="23">
        <v>6119.6181711143126</v>
      </c>
      <c r="I55" s="25">
        <f t="shared" si="2"/>
        <v>81.08476063866118</v>
      </c>
      <c r="J55" s="23">
        <f t="shared" si="3"/>
        <v>1927.6797239010084</v>
      </c>
      <c r="K55" s="32">
        <v>0.315</v>
      </c>
      <c r="L55" s="23">
        <v>521872.77115250524</v>
      </c>
      <c r="M55" s="23">
        <v>3048.3222614048204</v>
      </c>
      <c r="N55" s="25">
        <f t="shared" si="4"/>
        <v>171.2</v>
      </c>
      <c r="O55" s="23">
        <f t="shared" si="5"/>
        <v>655.38928620203637</v>
      </c>
      <c r="P55" s="32">
        <v>0.215</v>
      </c>
      <c r="Q55" s="23">
        <v>29374.999999999993</v>
      </c>
      <c r="R55" s="23">
        <v>253.067893171588</v>
      </c>
      <c r="S55" s="25">
        <f t="shared" si="6"/>
        <v>116.07557020314236</v>
      </c>
      <c r="T55" s="24"/>
      <c r="U55" s="32"/>
      <c r="V55" s="22"/>
      <c r="W55" s="24">
        <f t="shared" si="7"/>
        <v>1302076.5214356638</v>
      </c>
    </row>
    <row r="56" spans="1:23" ht="18" customHeight="1" x14ac:dyDescent="0.25">
      <c r="A56" s="21">
        <v>46077</v>
      </c>
      <c r="B56" s="23">
        <v>845276.06307273265</v>
      </c>
      <c r="C56" s="23">
        <v>5187.814446057605</v>
      </c>
      <c r="D56" s="25">
        <f t="shared" si="1"/>
        <v>162.93490676311416</v>
      </c>
      <c r="E56" s="23">
        <f t="shared" si="8"/>
        <v>1115.3801059023851</v>
      </c>
      <c r="F56" s="32">
        <v>0.215</v>
      </c>
      <c r="G56" s="23">
        <v>537593.61452929152</v>
      </c>
      <c r="H56" s="23">
        <v>6630.0203675136354</v>
      </c>
      <c r="I56" s="25">
        <f t="shared" si="2"/>
        <v>81.08476063866118</v>
      </c>
      <c r="J56" s="23">
        <f t="shared" si="3"/>
        <v>2088.4564157667951</v>
      </c>
      <c r="K56" s="32">
        <v>0.315</v>
      </c>
      <c r="L56" s="23">
        <v>565399.1810018206</v>
      </c>
      <c r="M56" s="23">
        <v>3302.5653095900739</v>
      </c>
      <c r="N56" s="25">
        <f t="shared" si="4"/>
        <v>171.2</v>
      </c>
      <c r="O56" s="23">
        <f t="shared" si="5"/>
        <v>710.05154156186586</v>
      </c>
      <c r="P56" s="32">
        <v>0.215</v>
      </c>
      <c r="Q56" s="23">
        <v>31824.999999999996</v>
      </c>
      <c r="R56" s="23">
        <v>274.17483234675024</v>
      </c>
      <c r="S56" s="25">
        <f t="shared" si="6"/>
        <v>116.07557020314236</v>
      </c>
      <c r="T56" s="24"/>
      <c r="U56" s="32"/>
      <c r="V56" s="22"/>
      <c r="W56" s="24">
        <f t="shared" si="7"/>
        <v>1410675.2440745533</v>
      </c>
    </row>
    <row r="57" spans="1:23" ht="18" customHeight="1" x14ac:dyDescent="0.25">
      <c r="A57" s="21">
        <v>46078</v>
      </c>
      <c r="B57" s="23">
        <v>862008.94350433745</v>
      </c>
      <c r="C57" s="23">
        <v>5290.5111656496329</v>
      </c>
      <c r="D57" s="25">
        <f t="shared" si="1"/>
        <v>162.93490676311418</v>
      </c>
      <c r="E57" s="23">
        <f t="shared" si="8"/>
        <v>1137.4599006146711</v>
      </c>
      <c r="F57" s="32">
        <v>0.215</v>
      </c>
      <c r="G57" s="23">
        <v>548235.68765273073</v>
      </c>
      <c r="H57" s="23">
        <v>6761.2666465877455</v>
      </c>
      <c r="I57" s="25">
        <f t="shared" si="2"/>
        <v>81.08476063866118</v>
      </c>
      <c r="J57" s="23">
        <f t="shared" si="3"/>
        <v>2129.7989936751401</v>
      </c>
      <c r="K57" s="32">
        <v>0.315</v>
      </c>
      <c r="L57" s="23">
        <v>576591.68639164453</v>
      </c>
      <c r="M57" s="23">
        <v>3367.942093409139</v>
      </c>
      <c r="N57" s="25">
        <f t="shared" si="4"/>
        <v>171.2</v>
      </c>
      <c r="O57" s="23">
        <f t="shared" si="5"/>
        <v>724.10755008296485</v>
      </c>
      <c r="P57" s="32">
        <v>0.215</v>
      </c>
      <c r="Q57" s="23">
        <v>32454.999999999993</v>
      </c>
      <c r="R57" s="23">
        <v>279.60233099179197</v>
      </c>
      <c r="S57" s="25">
        <f t="shared" si="6"/>
        <v>116.07557020314235</v>
      </c>
      <c r="T57" s="24"/>
      <c r="U57" s="32"/>
      <c r="V57" s="22"/>
      <c r="W57" s="24">
        <f t="shared" si="7"/>
        <v>1438600.6298959819</v>
      </c>
    </row>
    <row r="58" spans="1:23" ht="18" customHeight="1" x14ac:dyDescent="0.25">
      <c r="A58" s="21">
        <v>46079</v>
      </c>
      <c r="B58" s="23">
        <v>841557.64519904263</v>
      </c>
      <c r="C58" s="23">
        <v>5164.9929528149314</v>
      </c>
      <c r="D58" s="25">
        <f t="shared" si="1"/>
        <v>162.93490676311418</v>
      </c>
      <c r="E58" s="23">
        <f t="shared" si="8"/>
        <v>1110.4734848552102</v>
      </c>
      <c r="F58" s="32">
        <v>0.215</v>
      </c>
      <c r="G58" s="23">
        <v>535228.70939074946</v>
      </c>
      <c r="H58" s="23">
        <v>6600.8545277193871</v>
      </c>
      <c r="I58" s="25">
        <f t="shared" si="2"/>
        <v>81.084760638661194</v>
      </c>
      <c r="J58" s="23">
        <f t="shared" si="3"/>
        <v>2079.2691762316072</v>
      </c>
      <c r="K58" s="32">
        <v>0.315</v>
      </c>
      <c r="L58" s="23">
        <v>562911.95758185966</v>
      </c>
      <c r="M58" s="23">
        <v>3288.0371354080589</v>
      </c>
      <c r="N58" s="25">
        <f t="shared" si="4"/>
        <v>171.2</v>
      </c>
      <c r="O58" s="23">
        <f t="shared" si="5"/>
        <v>706.9279841127327</v>
      </c>
      <c r="P58" s="32">
        <v>0.215</v>
      </c>
      <c r="Q58" s="23">
        <v>31684.999999999993</v>
      </c>
      <c r="R58" s="23">
        <v>272.96872153674093</v>
      </c>
      <c r="S58" s="25">
        <f t="shared" si="6"/>
        <v>116.07557020314238</v>
      </c>
      <c r="T58" s="24"/>
      <c r="U58" s="32"/>
      <c r="V58" s="22"/>
      <c r="W58" s="24">
        <f t="shared" si="7"/>
        <v>1404469.6027809023</v>
      </c>
    </row>
    <row r="59" spans="1:23" ht="18" customHeight="1" x14ac:dyDescent="0.25">
      <c r="A59" s="21">
        <v>46080</v>
      </c>
      <c r="B59" s="23">
        <v>832261.60051481775</v>
      </c>
      <c r="C59" s="23">
        <v>5107.9392197082489</v>
      </c>
      <c r="D59" s="25">
        <f t="shared" si="1"/>
        <v>162.93490676311418</v>
      </c>
      <c r="E59" s="23">
        <f t="shared" si="8"/>
        <v>1098.2069322372736</v>
      </c>
      <c r="F59" s="32">
        <v>0.215</v>
      </c>
      <c r="G59" s="23">
        <v>529316.44654439425</v>
      </c>
      <c r="H59" s="23">
        <v>6527.9399282337699</v>
      </c>
      <c r="I59" s="25">
        <f t="shared" si="2"/>
        <v>81.08476063866118</v>
      </c>
      <c r="J59" s="23">
        <f t="shared" si="3"/>
        <v>2056.3010773936376</v>
      </c>
      <c r="K59" s="32">
        <v>0.315</v>
      </c>
      <c r="L59" s="23">
        <v>556693.8990319575</v>
      </c>
      <c r="M59" s="23">
        <v>3251.7166999530227</v>
      </c>
      <c r="N59" s="25">
        <f t="shared" si="4"/>
        <v>171.2</v>
      </c>
      <c r="O59" s="23">
        <f t="shared" si="5"/>
        <v>699.11909048989992</v>
      </c>
      <c r="P59" s="32">
        <v>0.215</v>
      </c>
      <c r="Q59" s="23">
        <v>31334.999999999989</v>
      </c>
      <c r="R59" s="23">
        <v>269.95344451171781</v>
      </c>
      <c r="S59" s="25">
        <f t="shared" si="6"/>
        <v>116.07557020314233</v>
      </c>
      <c r="T59" s="24"/>
      <c r="U59" s="32"/>
      <c r="V59" s="22"/>
      <c r="W59" s="24">
        <f t="shared" si="7"/>
        <v>1388955.4995467751</v>
      </c>
    </row>
    <row r="60" spans="1:23" ht="18" customHeight="1" x14ac:dyDescent="0.25">
      <c r="A60" s="21">
        <v>46081</v>
      </c>
      <c r="B60" s="23">
        <v>483394.32357969321</v>
      </c>
      <c r="C60" s="23">
        <v>2966.7941215474757</v>
      </c>
      <c r="D60" s="25">
        <f t="shared" si="1"/>
        <v>162.93490676311418</v>
      </c>
      <c r="E60" s="23">
        <f t="shared" si="8"/>
        <v>637.8607361327073</v>
      </c>
      <c r="F60" s="32">
        <v>0.215</v>
      </c>
      <c r="G60" s="23">
        <v>307437.66801046685</v>
      </c>
      <c r="H60" s="23">
        <v>3791.5591732521029</v>
      </c>
      <c r="I60" s="25">
        <f t="shared" si="2"/>
        <v>81.08476063866118</v>
      </c>
      <c r="J60" s="23">
        <f t="shared" si="3"/>
        <v>1194.3411395744124</v>
      </c>
      <c r="K60" s="32">
        <v>0.315</v>
      </c>
      <c r="L60" s="23">
        <v>323339.04459491395</v>
      </c>
      <c r="M60" s="23">
        <v>1888.6626436618806</v>
      </c>
      <c r="N60" s="25">
        <f t="shared" si="4"/>
        <v>171.2</v>
      </c>
      <c r="O60" s="23">
        <f t="shared" si="5"/>
        <v>406.06246838730431</v>
      </c>
      <c r="P60" s="32">
        <v>0.215</v>
      </c>
      <c r="Q60" s="23">
        <v>18200</v>
      </c>
      <c r="R60" s="23">
        <v>156.79440530120519</v>
      </c>
      <c r="S60" s="25">
        <f t="shared" si="6"/>
        <v>116.07557020314236</v>
      </c>
      <c r="T60" s="24"/>
      <c r="U60" s="32"/>
      <c r="V60" s="22"/>
      <c r="W60" s="24">
        <f t="shared" si="7"/>
        <v>806733.36817460717</v>
      </c>
    </row>
    <row r="61" spans="1:23" ht="18" customHeight="1" x14ac:dyDescent="0.25">
      <c r="A61" s="21">
        <v>46082</v>
      </c>
      <c r="B61" s="23">
        <v>395494.13458662305</v>
      </c>
      <c r="C61" s="23">
        <v>2566.4696505336647</v>
      </c>
      <c r="D61" s="25">
        <f t="shared" si="1"/>
        <v>154.10045254358846</v>
      </c>
      <c r="E61" s="23">
        <f t="shared" si="8"/>
        <v>551.7909748647379</v>
      </c>
      <c r="F61" s="32">
        <v>0.215</v>
      </c>
      <c r="G61" s="23">
        <v>231765.24354054724</v>
      </c>
      <c r="H61" s="23">
        <v>2823.4933936573793</v>
      </c>
      <c r="I61" s="25">
        <f t="shared" si="2"/>
        <v>82.084570858631551</v>
      </c>
      <c r="J61" s="23">
        <f t="shared" si="3"/>
        <v>889.4004190020745</v>
      </c>
      <c r="K61" s="32">
        <v>0.315</v>
      </c>
      <c r="L61" s="23">
        <v>263769.82406864228</v>
      </c>
      <c r="M61" s="23">
        <v>1520.2825418680552</v>
      </c>
      <c r="N61" s="25">
        <f t="shared" si="4"/>
        <v>173.50052822716344</v>
      </c>
      <c r="O61" s="23">
        <f t="shared" si="5"/>
        <v>326.86074650163187</v>
      </c>
      <c r="P61" s="32">
        <v>0.215</v>
      </c>
      <c r="Q61" s="23">
        <v>13577.58812063995</v>
      </c>
      <c r="R61" s="23">
        <v>118.02318473866276</v>
      </c>
      <c r="S61" s="25">
        <f t="shared" si="6"/>
        <v>115.04170261719874</v>
      </c>
      <c r="T61" s="24"/>
      <c r="U61" s="32"/>
      <c r="V61" s="22"/>
      <c r="W61" s="24">
        <f t="shared" si="7"/>
        <v>659263.95865526539</v>
      </c>
    </row>
    <row r="62" spans="1:23" ht="18" customHeight="1" x14ac:dyDescent="0.25">
      <c r="A62" s="21">
        <v>46083</v>
      </c>
      <c r="B62" s="23">
        <v>725937.10817383078</v>
      </c>
      <c r="C62" s="23">
        <v>4710.8045186855907</v>
      </c>
      <c r="D62" s="25">
        <f t="shared" si="1"/>
        <v>154.10045254358843</v>
      </c>
      <c r="E62" s="23">
        <f t="shared" si="8"/>
        <v>1012.8229715174019</v>
      </c>
      <c r="F62" s="32">
        <v>0.215</v>
      </c>
      <c r="G62" s="23">
        <v>425409.57237427303</v>
      </c>
      <c r="H62" s="23">
        <v>5182.576553965614</v>
      </c>
      <c r="I62" s="25">
        <f t="shared" si="2"/>
        <v>82.084570858631565</v>
      </c>
      <c r="J62" s="23">
        <f t="shared" si="3"/>
        <v>1632.5116144991684</v>
      </c>
      <c r="K62" s="32">
        <v>0.315</v>
      </c>
      <c r="L62" s="23">
        <v>484154.59690204682</v>
      </c>
      <c r="M62" s="23">
        <v>2790.5079128528378</v>
      </c>
      <c r="N62" s="25">
        <f t="shared" si="4"/>
        <v>173.50052822716347</v>
      </c>
      <c r="O62" s="23">
        <f t="shared" si="5"/>
        <v>599.95920126336011</v>
      </c>
      <c r="P62" s="32">
        <v>0.215</v>
      </c>
      <c r="Q62" s="23">
        <v>24921.924737455014</v>
      </c>
      <c r="R62" s="23">
        <v>216.63383078032771</v>
      </c>
      <c r="S62" s="25">
        <f t="shared" si="6"/>
        <v>115.04170261719874</v>
      </c>
      <c r="T62" s="24"/>
      <c r="U62" s="32"/>
      <c r="V62" s="22"/>
      <c r="W62" s="24">
        <f t="shared" si="7"/>
        <v>1210091.7050758777</v>
      </c>
    </row>
    <row r="63" spans="1:23" ht="18" customHeight="1" x14ac:dyDescent="0.25">
      <c r="A63" s="21">
        <v>46084</v>
      </c>
      <c r="B63" s="23">
        <v>605534.15256485518</v>
      </c>
      <c r="C63" s="23">
        <v>3929.4767962707665</v>
      </c>
      <c r="D63" s="25">
        <f t="shared" si="1"/>
        <v>154.10045254358843</v>
      </c>
      <c r="E63" s="23">
        <f t="shared" si="8"/>
        <v>844.83751119821477</v>
      </c>
      <c r="F63" s="32">
        <v>0.215</v>
      </c>
      <c r="G63" s="23">
        <v>354851.71098175726</v>
      </c>
      <c r="H63" s="23">
        <v>4323.0013542117822</v>
      </c>
      <c r="I63" s="25">
        <f t="shared" si="2"/>
        <v>82.084570858631565</v>
      </c>
      <c r="J63" s="23">
        <f t="shared" si="3"/>
        <v>1361.7454265767115</v>
      </c>
      <c r="K63" s="32">
        <v>0.315</v>
      </c>
      <c r="L63" s="23">
        <v>403853.36449181463</v>
      </c>
      <c r="M63" s="23">
        <v>2327.6780112337829</v>
      </c>
      <c r="N63" s="25">
        <f t="shared" si="4"/>
        <v>173.50052822716344</v>
      </c>
      <c r="O63" s="23">
        <f t="shared" si="5"/>
        <v>500.45077241526332</v>
      </c>
      <c r="P63" s="32">
        <v>0.215</v>
      </c>
      <c r="Q63" s="23">
        <v>20788.407709509538</v>
      </c>
      <c r="R63" s="23">
        <v>180.70323401491166</v>
      </c>
      <c r="S63" s="25">
        <f t="shared" si="6"/>
        <v>115.04170261719874</v>
      </c>
      <c r="T63" s="24"/>
      <c r="U63" s="32"/>
      <c r="V63" s="22"/>
      <c r="W63" s="24">
        <f t="shared" si="7"/>
        <v>1009387.5170566698</v>
      </c>
    </row>
    <row r="64" spans="1:23" ht="18" customHeight="1" x14ac:dyDescent="0.25">
      <c r="A64" s="21">
        <v>46085</v>
      </c>
      <c r="B64" s="23">
        <v>745970.66762758838</v>
      </c>
      <c r="C64" s="23">
        <v>4840.8077673658045</v>
      </c>
      <c r="D64" s="25">
        <f t="shared" si="1"/>
        <v>154.10045254358843</v>
      </c>
      <c r="E64" s="23">
        <f t="shared" si="8"/>
        <v>1040.773669983648</v>
      </c>
      <c r="F64" s="32">
        <v>0.215</v>
      </c>
      <c r="G64" s="23">
        <v>437149.52596584067</v>
      </c>
      <c r="H64" s="23">
        <v>5325.5992130203413</v>
      </c>
      <c r="I64" s="25">
        <f t="shared" si="2"/>
        <v>82.084570858631565</v>
      </c>
      <c r="J64" s="23">
        <f t="shared" si="3"/>
        <v>1677.5637521014075</v>
      </c>
      <c r="K64" s="32">
        <v>0.315</v>
      </c>
      <c r="L64" s="23">
        <v>497515.72666471574</v>
      </c>
      <c r="M64" s="23">
        <v>2867.5170718403847</v>
      </c>
      <c r="N64" s="25">
        <f t="shared" si="4"/>
        <v>173.50052822716344</v>
      </c>
      <c r="O64" s="23">
        <f t="shared" si="5"/>
        <v>616.51617044568275</v>
      </c>
      <c r="P64" s="32">
        <v>0.215</v>
      </c>
      <c r="Q64" s="23">
        <v>25609.690737165176</v>
      </c>
      <c r="R64" s="23">
        <v>222.61223673280827</v>
      </c>
      <c r="S64" s="25">
        <f t="shared" si="6"/>
        <v>115.04170261719875</v>
      </c>
      <c r="T64" s="24"/>
      <c r="U64" s="32"/>
      <c r="V64" s="22"/>
      <c r="W64" s="24">
        <f t="shared" si="7"/>
        <v>1243486.3942923041</v>
      </c>
    </row>
    <row r="65" spans="1:23" ht="18" customHeight="1" x14ac:dyDescent="0.25">
      <c r="A65" s="21">
        <v>46086</v>
      </c>
      <c r="B65" s="23">
        <v>786124.02382276871</v>
      </c>
      <c r="C65" s="23">
        <v>5101.373882081286</v>
      </c>
      <c r="D65" s="25">
        <f t="shared" si="1"/>
        <v>154.10045254358843</v>
      </c>
      <c r="E65" s="23">
        <f t="shared" si="8"/>
        <v>1096.7953846474766</v>
      </c>
      <c r="F65" s="32">
        <v>0.215</v>
      </c>
      <c r="G65" s="23">
        <v>460679.96943821548</v>
      </c>
      <c r="H65" s="23">
        <v>5612.2601923766151</v>
      </c>
      <c r="I65" s="25">
        <f t="shared" si="2"/>
        <v>82.084570858631565</v>
      </c>
      <c r="J65" s="23">
        <f t="shared" si="3"/>
        <v>1767.8619605986337</v>
      </c>
      <c r="K65" s="32">
        <v>0.315</v>
      </c>
      <c r="L65" s="23">
        <v>524295.50106121437</v>
      </c>
      <c r="M65" s="23">
        <v>3021.8668866227122</v>
      </c>
      <c r="N65" s="25">
        <f t="shared" si="4"/>
        <v>173.50052822716344</v>
      </c>
      <c r="O65" s="23">
        <f t="shared" si="5"/>
        <v>649.7013806238831</v>
      </c>
      <c r="P65" s="32">
        <v>0.215</v>
      </c>
      <c r="Q65" s="23">
        <v>26988.183322521319</v>
      </c>
      <c r="R65" s="23">
        <v>234.59478353101656</v>
      </c>
      <c r="S65" s="25">
        <f t="shared" si="6"/>
        <v>115.04170261719874</v>
      </c>
      <c r="T65" s="24"/>
      <c r="U65" s="32"/>
      <c r="V65" s="22"/>
      <c r="W65" s="24">
        <f t="shared" si="7"/>
        <v>1310419.5248839832</v>
      </c>
    </row>
    <row r="66" spans="1:23" ht="18" customHeight="1" x14ac:dyDescent="0.25">
      <c r="A66" s="21">
        <v>46087</v>
      </c>
      <c r="B66" s="23">
        <v>1008974.7995738531</v>
      </c>
      <c r="C66" s="23">
        <v>6547.5135401595089</v>
      </c>
      <c r="D66" s="25">
        <f t="shared" si="1"/>
        <v>154.10045254358843</v>
      </c>
      <c r="E66" s="23">
        <f t="shared" ref="E66:E97" si="9">F66*C66</f>
        <v>1407.7154111342943</v>
      </c>
      <c r="F66" s="32">
        <v>0.215</v>
      </c>
      <c r="G66" s="23">
        <v>591273.72494140244</v>
      </c>
      <c r="H66" s="23">
        <v>7203.2261210174465</v>
      </c>
      <c r="I66" s="25">
        <f t="shared" si="2"/>
        <v>82.084570858631579</v>
      </c>
      <c r="J66" s="23">
        <f t="shared" si="3"/>
        <v>2269.0162281204957</v>
      </c>
      <c r="K66" s="32">
        <v>0.315</v>
      </c>
      <c r="L66" s="23">
        <v>672923.014778613</v>
      </c>
      <c r="M66" s="23">
        <v>3878.5070089098399</v>
      </c>
      <c r="N66" s="25">
        <f t="shared" si="4"/>
        <v>173.50052822716347</v>
      </c>
      <c r="O66" s="23">
        <f t="shared" si="5"/>
        <v>833.87900691561561</v>
      </c>
      <c r="P66" s="32">
        <v>0.215</v>
      </c>
      <c r="Q66" s="23">
        <v>34638.805116636955</v>
      </c>
      <c r="R66" s="23">
        <v>301.09781347636675</v>
      </c>
      <c r="S66" s="25">
        <f t="shared" si="6"/>
        <v>115.04170261719872</v>
      </c>
      <c r="T66" s="24"/>
      <c r="U66" s="32"/>
      <c r="V66" s="22"/>
      <c r="W66" s="24">
        <f t="shared" si="7"/>
        <v>1681897.8143524663</v>
      </c>
    </row>
    <row r="67" spans="1:23" ht="18" customHeight="1" x14ac:dyDescent="0.25">
      <c r="A67" s="21">
        <v>46088</v>
      </c>
      <c r="B67" s="23">
        <v>603437.66495739878</v>
      </c>
      <c r="C67" s="23">
        <v>3915.8721145657373</v>
      </c>
      <c r="D67" s="25">
        <f t="shared" ref="D67:D121" si="10">IFERROR(B67/C67,0)</f>
        <v>154.10045254358846</v>
      </c>
      <c r="E67" s="23">
        <f t="shared" si="9"/>
        <v>841.91250463163351</v>
      </c>
      <c r="F67" s="32">
        <v>0.215</v>
      </c>
      <c r="G67" s="23">
        <v>353623.13913092628</v>
      </c>
      <c r="H67" s="23">
        <v>4308.0342070612314</v>
      </c>
      <c r="I67" s="25">
        <f t="shared" ref="I67:I130" si="11">IFERROR(G67/H67,0)</f>
        <v>82.084570858631565</v>
      </c>
      <c r="J67" s="23">
        <f t="shared" ref="J67:J130" si="12">K67*H67</f>
        <v>1357.0307752242879</v>
      </c>
      <c r="K67" s="32">
        <v>0.315</v>
      </c>
      <c r="L67" s="23">
        <v>402455.13852834021</v>
      </c>
      <c r="M67" s="23">
        <v>2319.6190964987004</v>
      </c>
      <c r="N67" s="25">
        <f t="shared" ref="N67:N121" si="13">IFERROR(L67/M67,0)</f>
        <v>173.50052822716347</v>
      </c>
      <c r="O67" s="23">
        <f t="shared" ref="O67:O130" si="14">P67*M67</f>
        <v>498.71810574722059</v>
      </c>
      <c r="P67" s="32">
        <v>0.215</v>
      </c>
      <c r="Q67" s="23">
        <v>20716.433834944186</v>
      </c>
      <c r="R67" s="23">
        <v>180.07760111025235</v>
      </c>
      <c r="S67" s="25">
        <f t="shared" ref="S67:S130" si="15">Q67/R67</f>
        <v>115.04170261719872</v>
      </c>
      <c r="T67" s="24"/>
      <c r="U67" s="32"/>
      <c r="V67" s="22"/>
      <c r="W67" s="24">
        <f t="shared" ref="W67:W130" si="16">SUM(B67,L67)</f>
        <v>1005892.803485739</v>
      </c>
    </row>
    <row r="68" spans="1:23" ht="18" customHeight="1" x14ac:dyDescent="0.25">
      <c r="A68" s="21">
        <v>46089</v>
      </c>
      <c r="B68" s="23">
        <v>345895.60234063677</v>
      </c>
      <c r="C68" s="23">
        <v>2244.6112041286688</v>
      </c>
      <c r="D68" s="25">
        <f t="shared" si="10"/>
        <v>154.10045254358843</v>
      </c>
      <c r="E68" s="23">
        <f t="shared" si="9"/>
        <v>482.59140888766376</v>
      </c>
      <c r="F68" s="32">
        <v>0.215</v>
      </c>
      <c r="G68" s="23">
        <v>202699.79123678635</v>
      </c>
      <c r="H68" s="23">
        <v>2469.4018512429311</v>
      </c>
      <c r="I68" s="25">
        <f t="shared" si="11"/>
        <v>82.084570858631565</v>
      </c>
      <c r="J68" s="23">
        <f t="shared" si="12"/>
        <v>777.86158314152328</v>
      </c>
      <c r="K68" s="32">
        <v>0.315</v>
      </c>
      <c r="L68" s="23">
        <v>230690.70865202352</v>
      </c>
      <c r="M68" s="23">
        <v>1329.625396586581</v>
      </c>
      <c r="N68" s="25">
        <f t="shared" si="13"/>
        <v>173.50052822716347</v>
      </c>
      <c r="O68" s="23">
        <f t="shared" si="14"/>
        <v>285.86946026611491</v>
      </c>
      <c r="P68" s="32">
        <v>0.215</v>
      </c>
      <c r="Q68" s="23">
        <v>11874.836086331885</v>
      </c>
      <c r="R68" s="23">
        <v>103.2220126804399</v>
      </c>
      <c r="S68" s="25">
        <f t="shared" si="15"/>
        <v>115.04170261719874</v>
      </c>
      <c r="T68" s="24"/>
      <c r="U68" s="32"/>
      <c r="V68" s="22"/>
      <c r="W68" s="24">
        <f t="shared" si="16"/>
        <v>576586.31099266023</v>
      </c>
    </row>
    <row r="69" spans="1:23" ht="18" customHeight="1" x14ac:dyDescent="0.25">
      <c r="A69" s="21">
        <v>46090</v>
      </c>
      <c r="B69" s="23">
        <v>899687.77172209648</v>
      </c>
      <c r="C69" s="23">
        <v>5838.320114391704</v>
      </c>
      <c r="D69" s="25">
        <f t="shared" si="10"/>
        <v>154.1004525435884</v>
      </c>
      <c r="E69" s="23">
        <f t="shared" si="9"/>
        <v>1255.2388245942163</v>
      </c>
      <c r="F69" s="32">
        <v>0.215</v>
      </c>
      <c r="G69" s="23">
        <v>527229.95687804243</v>
      </c>
      <c r="H69" s="23">
        <v>6423.0092374613641</v>
      </c>
      <c r="I69" s="25">
        <f t="shared" si="11"/>
        <v>82.084570858631565</v>
      </c>
      <c r="J69" s="23">
        <f t="shared" si="12"/>
        <v>2023.2479098003298</v>
      </c>
      <c r="K69" s="32">
        <v>0.315</v>
      </c>
      <c r="L69" s="23">
        <v>600035.41016325576</v>
      </c>
      <c r="M69" s="23">
        <v>3458.4068203967204</v>
      </c>
      <c r="N69" s="25">
        <f t="shared" si="13"/>
        <v>173.50052822716344</v>
      </c>
      <c r="O69" s="23">
        <f t="shared" si="14"/>
        <v>743.5574663852949</v>
      </c>
      <c r="P69" s="32">
        <v>0.215</v>
      </c>
      <c r="Q69" s="23">
        <v>30886.905603257303</v>
      </c>
      <c r="R69" s="23">
        <v>268.48442695631411</v>
      </c>
      <c r="S69" s="25">
        <f t="shared" si="15"/>
        <v>115.04170261719874</v>
      </c>
      <c r="T69" s="24"/>
      <c r="U69" s="32"/>
      <c r="V69" s="22"/>
      <c r="W69" s="24">
        <f t="shared" si="16"/>
        <v>1499723.1818853524</v>
      </c>
    </row>
    <row r="70" spans="1:23" ht="18" customHeight="1" x14ac:dyDescent="0.25">
      <c r="A70" s="21">
        <v>46091</v>
      </c>
      <c r="B70" s="23">
        <v>998635.00010674982</v>
      </c>
      <c r="C70" s="23">
        <v>6480.4157523436124</v>
      </c>
      <c r="D70" s="25">
        <f t="shared" si="10"/>
        <v>154.10045254358843</v>
      </c>
      <c r="E70" s="23">
        <f t="shared" si="9"/>
        <v>1393.2893867538767</v>
      </c>
      <c r="F70" s="32">
        <v>0.215</v>
      </c>
      <c r="G70" s="23">
        <v>585214.45393815881</v>
      </c>
      <c r="H70" s="23">
        <v>7129.4087039333153</v>
      </c>
      <c r="I70" s="25">
        <f t="shared" si="11"/>
        <v>82.084570858631565</v>
      </c>
      <c r="J70" s="23">
        <f t="shared" si="12"/>
        <v>2245.7637417389942</v>
      </c>
      <c r="K70" s="32">
        <v>0.315</v>
      </c>
      <c r="L70" s="23">
        <v>666027.0159562953</v>
      </c>
      <c r="M70" s="23">
        <v>3838.7607390120979</v>
      </c>
      <c r="N70" s="25">
        <f t="shared" si="13"/>
        <v>173.50052822716344</v>
      </c>
      <c r="O70" s="23">
        <f t="shared" si="14"/>
        <v>825.33355888760104</v>
      </c>
      <c r="P70" s="32">
        <v>0.215</v>
      </c>
      <c r="Q70" s="23">
        <v>34283.832624918265</v>
      </c>
      <c r="R70" s="23">
        <v>298.012215092102</v>
      </c>
      <c r="S70" s="25">
        <f t="shared" si="15"/>
        <v>115.04170261719874</v>
      </c>
      <c r="T70" s="24"/>
      <c r="U70" s="32"/>
      <c r="V70" s="22"/>
      <c r="W70" s="24">
        <f t="shared" si="16"/>
        <v>1664662.0160630452</v>
      </c>
    </row>
    <row r="71" spans="1:23" ht="18" customHeight="1" x14ac:dyDescent="0.25">
      <c r="A71" s="21">
        <v>46092</v>
      </c>
      <c r="B71" s="23">
        <v>1085260.2932307646</v>
      </c>
      <c r="C71" s="23">
        <v>7042.5509809829446</v>
      </c>
      <c r="D71" s="25">
        <f t="shared" si="10"/>
        <v>154.10045254358846</v>
      </c>
      <c r="E71" s="23">
        <f t="shared" si="9"/>
        <v>1514.1484609113331</v>
      </c>
      <c r="F71" s="32">
        <v>0.215</v>
      </c>
      <c r="G71" s="23">
        <v>635978.11994964874</v>
      </c>
      <c r="H71" s="23">
        <v>7747.8399813400829</v>
      </c>
      <c r="I71" s="25">
        <f t="shared" si="11"/>
        <v>82.084570858631565</v>
      </c>
      <c r="J71" s="23">
        <f t="shared" si="12"/>
        <v>2440.5695941221261</v>
      </c>
      <c r="K71" s="32">
        <v>0.315</v>
      </c>
      <c r="L71" s="23">
        <v>723800.66246333695</v>
      </c>
      <c r="M71" s="23">
        <v>4171.7490422603678</v>
      </c>
      <c r="N71" s="25">
        <f t="shared" si="13"/>
        <v>173.50052822716344</v>
      </c>
      <c r="O71" s="23">
        <f t="shared" si="14"/>
        <v>896.92604408597902</v>
      </c>
      <c r="P71" s="32">
        <v>0.215</v>
      </c>
      <c r="Q71" s="23">
        <v>37257.739057429382</v>
      </c>
      <c r="R71" s="23">
        <v>323.86289675670486</v>
      </c>
      <c r="S71" s="25">
        <f t="shared" si="15"/>
        <v>115.04170261719875</v>
      </c>
      <c r="T71" s="24"/>
      <c r="U71" s="32"/>
      <c r="V71" s="22"/>
      <c r="W71" s="24">
        <f t="shared" si="16"/>
        <v>1809060.9556941015</v>
      </c>
    </row>
    <row r="72" spans="1:23" ht="18" customHeight="1" x14ac:dyDescent="0.25">
      <c r="A72" s="21">
        <v>46093</v>
      </c>
      <c r="B72" s="23">
        <v>1147159.6457381214</v>
      </c>
      <c r="C72" s="23">
        <v>7444.2328156929898</v>
      </c>
      <c r="D72" s="25">
        <f t="shared" si="10"/>
        <v>154.10045254358843</v>
      </c>
      <c r="E72" s="23">
        <f t="shared" si="9"/>
        <v>1600.5100553739928</v>
      </c>
      <c r="F72" s="32">
        <v>0.215</v>
      </c>
      <c r="G72" s="23">
        <v>672252.02960918017</v>
      </c>
      <c r="H72" s="23">
        <v>8189.7489695956647</v>
      </c>
      <c r="I72" s="25">
        <f t="shared" si="11"/>
        <v>82.084570858631565</v>
      </c>
      <c r="J72" s="23">
        <f t="shared" si="12"/>
        <v>2579.7709254226343</v>
      </c>
      <c r="K72" s="32">
        <v>0.315</v>
      </c>
      <c r="L72" s="23">
        <v>765083.65478354879</v>
      </c>
      <c r="M72" s="23">
        <v>4409.6906366868707</v>
      </c>
      <c r="N72" s="25">
        <f t="shared" si="13"/>
        <v>173.50052822716344</v>
      </c>
      <c r="O72" s="23">
        <f t="shared" si="14"/>
        <v>948.08348688767717</v>
      </c>
      <c r="P72" s="32">
        <v>0.215</v>
      </c>
      <c r="Q72" s="23">
        <v>39382.786788308214</v>
      </c>
      <c r="R72" s="23">
        <v>342.33487415736914</v>
      </c>
      <c r="S72" s="25">
        <f t="shared" si="15"/>
        <v>115.04170261719874</v>
      </c>
      <c r="T72" s="24"/>
      <c r="U72" s="32"/>
      <c r="V72" s="22"/>
      <c r="W72" s="24">
        <f t="shared" si="16"/>
        <v>1912243.3005216701</v>
      </c>
    </row>
    <row r="73" spans="1:23" ht="18" customHeight="1" x14ac:dyDescent="0.25">
      <c r="A73" s="21">
        <v>46094</v>
      </c>
      <c r="B73" s="23">
        <v>843278.30765752087</v>
      </c>
      <c r="C73" s="23">
        <v>5472.2636678759491</v>
      </c>
      <c r="D73" s="25">
        <f t="shared" si="10"/>
        <v>154.10045254358843</v>
      </c>
      <c r="E73" s="23">
        <f t="shared" si="9"/>
        <v>1176.536688593329</v>
      </c>
      <c r="F73" s="32">
        <v>0.215</v>
      </c>
      <c r="G73" s="23">
        <v>494173.20069989329</v>
      </c>
      <c r="H73" s="23">
        <v>6020.2934063086313</v>
      </c>
      <c r="I73" s="25">
        <f t="shared" si="11"/>
        <v>82.084570858631579</v>
      </c>
      <c r="J73" s="23">
        <f t="shared" si="12"/>
        <v>1896.3924229872189</v>
      </c>
      <c r="K73" s="32">
        <v>0.315</v>
      </c>
      <c r="L73" s="23">
        <v>562413.82968729897</v>
      </c>
      <c r="M73" s="23">
        <v>3241.5684000162414</v>
      </c>
      <c r="N73" s="25">
        <f t="shared" si="13"/>
        <v>173.50052822716344</v>
      </c>
      <c r="O73" s="23">
        <f t="shared" si="14"/>
        <v>696.93720600349184</v>
      </c>
      <c r="P73" s="32">
        <v>0.215</v>
      </c>
      <c r="Q73" s="23">
        <v>28950.329552703774</v>
      </c>
      <c r="R73" s="23">
        <v>251.65073963687755</v>
      </c>
      <c r="S73" s="25">
        <f t="shared" si="15"/>
        <v>115.04170261719874</v>
      </c>
      <c r="T73" s="24"/>
      <c r="U73" s="32"/>
      <c r="V73" s="22"/>
      <c r="W73" s="24">
        <f t="shared" si="16"/>
        <v>1405692.13734482</v>
      </c>
    </row>
    <row r="74" spans="1:23" ht="18" customHeight="1" x14ac:dyDescent="0.25">
      <c r="A74" s="21">
        <v>46095</v>
      </c>
      <c r="B74" s="23">
        <v>487362.36465640774</v>
      </c>
      <c r="C74" s="23">
        <v>3162.6277315347515</v>
      </c>
      <c r="D74" s="25">
        <f t="shared" si="10"/>
        <v>154.10045254358843</v>
      </c>
      <c r="E74" s="23">
        <f t="shared" si="9"/>
        <v>679.96496227997159</v>
      </c>
      <c r="F74" s="32">
        <v>0.215</v>
      </c>
      <c r="G74" s="23">
        <v>285601.34590908751</v>
      </c>
      <c r="H74" s="23">
        <v>3479.3548034862538</v>
      </c>
      <c r="I74" s="25">
        <f t="shared" si="11"/>
        <v>82.084570858631565</v>
      </c>
      <c r="J74" s="23">
        <f t="shared" si="12"/>
        <v>1095.99676309817</v>
      </c>
      <c r="K74" s="32">
        <v>0.315</v>
      </c>
      <c r="L74" s="23">
        <v>325040.18123419781</v>
      </c>
      <c r="M74" s="23">
        <v>1873.4247356793298</v>
      </c>
      <c r="N74" s="25">
        <f t="shared" si="13"/>
        <v>173.50052822716347</v>
      </c>
      <c r="O74" s="23">
        <f t="shared" si="14"/>
        <v>402.78631817105588</v>
      </c>
      <c r="P74" s="32">
        <v>0.215</v>
      </c>
      <c r="Q74" s="23">
        <v>16731.488217195052</v>
      </c>
      <c r="R74" s="23">
        <v>145.43846132796799</v>
      </c>
      <c r="S74" s="25">
        <f t="shared" si="15"/>
        <v>115.04170261719874</v>
      </c>
      <c r="T74" s="24"/>
      <c r="U74" s="32"/>
      <c r="V74" s="22"/>
      <c r="W74" s="24">
        <f t="shared" si="16"/>
        <v>812402.54589060554</v>
      </c>
    </row>
    <row r="75" spans="1:23" ht="18" customHeight="1" x14ac:dyDescent="0.25">
      <c r="A75" s="21">
        <v>46096</v>
      </c>
      <c r="B75" s="23">
        <v>295403.01419648976</v>
      </c>
      <c r="C75" s="23">
        <v>1916.9509843777575</v>
      </c>
      <c r="D75" s="25">
        <f t="shared" si="10"/>
        <v>154.10045254358843</v>
      </c>
      <c r="E75" s="23">
        <f t="shared" si="9"/>
        <v>412.14446164121784</v>
      </c>
      <c r="F75" s="32">
        <v>0.215</v>
      </c>
      <c r="G75" s="23">
        <v>173110.40933494765</v>
      </c>
      <c r="H75" s="23">
        <v>2108.9275064017015</v>
      </c>
      <c r="I75" s="25">
        <f t="shared" si="11"/>
        <v>82.084570858631565</v>
      </c>
      <c r="J75" s="23">
        <f t="shared" si="12"/>
        <v>664.31216451653597</v>
      </c>
      <c r="K75" s="32">
        <v>0.315</v>
      </c>
      <c r="L75" s="23">
        <v>197015.31393226943</v>
      </c>
      <c r="M75" s="23">
        <v>1135.5314934506607</v>
      </c>
      <c r="N75" s="25">
        <f t="shared" si="13"/>
        <v>173.50052822716344</v>
      </c>
      <c r="O75" s="23">
        <f t="shared" si="14"/>
        <v>244.13927109189206</v>
      </c>
      <c r="P75" s="32">
        <v>0.215</v>
      </c>
      <c r="Q75" s="23">
        <v>10141.390492548546</v>
      </c>
      <c r="R75" s="23">
        <v>88.154036856478243</v>
      </c>
      <c r="S75" s="25">
        <f t="shared" si="15"/>
        <v>115.04170261719872</v>
      </c>
      <c r="T75" s="24"/>
      <c r="U75" s="32"/>
      <c r="V75" s="22"/>
      <c r="W75" s="24">
        <f t="shared" si="16"/>
        <v>492418.32812875917</v>
      </c>
    </row>
    <row r="76" spans="1:23" ht="18" customHeight="1" x14ac:dyDescent="0.25">
      <c r="A76" s="21">
        <v>46097</v>
      </c>
      <c r="B76" s="23">
        <v>751190.39113202924</v>
      </c>
      <c r="C76" s="23">
        <v>4874.6799813553407</v>
      </c>
      <c r="D76" s="25">
        <f t="shared" si="10"/>
        <v>154.10045254358843</v>
      </c>
      <c r="E76" s="23">
        <f t="shared" si="9"/>
        <v>1048.0561959913982</v>
      </c>
      <c r="F76" s="32">
        <v>0.215</v>
      </c>
      <c r="G76" s="23">
        <v>440208.35891284631</v>
      </c>
      <c r="H76" s="23">
        <v>5362.8636211181019</v>
      </c>
      <c r="I76" s="25">
        <f t="shared" si="11"/>
        <v>82.084570858631565</v>
      </c>
      <c r="J76" s="23">
        <f t="shared" si="12"/>
        <v>1689.3020406522021</v>
      </c>
      <c r="K76" s="32">
        <v>0.315</v>
      </c>
      <c r="L76" s="23">
        <v>500996.95541136293</v>
      </c>
      <c r="M76" s="23">
        <v>2887.58172975364</v>
      </c>
      <c r="N76" s="25">
        <f t="shared" si="13"/>
        <v>173.50052822716347</v>
      </c>
      <c r="O76" s="23">
        <f t="shared" si="14"/>
        <v>620.83007189703255</v>
      </c>
      <c r="P76" s="32">
        <v>0.215</v>
      </c>
      <c r="Q76" s="23">
        <v>25788.887467657769</v>
      </c>
      <c r="R76" s="23">
        <v>224.16990431261513</v>
      </c>
      <c r="S76" s="25">
        <f t="shared" si="15"/>
        <v>115.04170261719875</v>
      </c>
      <c r="T76" s="24"/>
      <c r="U76" s="32"/>
      <c r="V76" s="22"/>
      <c r="W76" s="24">
        <f t="shared" si="16"/>
        <v>1252187.3465433922</v>
      </c>
    </row>
    <row r="77" spans="1:23" ht="18" customHeight="1" x14ac:dyDescent="0.25">
      <c r="A77" s="21">
        <v>46098</v>
      </c>
      <c r="B77" s="23">
        <v>724852.54909446475</v>
      </c>
      <c r="C77" s="23">
        <v>4703.7665180732347</v>
      </c>
      <c r="D77" s="25">
        <f t="shared" si="10"/>
        <v>154.10045254358843</v>
      </c>
      <c r="E77" s="23">
        <f t="shared" si="9"/>
        <v>1011.3098013857455</v>
      </c>
      <c r="F77" s="32">
        <v>0.215</v>
      </c>
      <c r="G77" s="23">
        <v>424774.00517571997</v>
      </c>
      <c r="H77" s="23">
        <v>5174.8337200577935</v>
      </c>
      <c r="I77" s="25">
        <f t="shared" si="11"/>
        <v>82.084570858631579</v>
      </c>
      <c r="J77" s="23">
        <f t="shared" si="12"/>
        <v>1630.0726218182049</v>
      </c>
      <c r="K77" s="32">
        <v>0.315</v>
      </c>
      <c r="L77" s="23">
        <v>483431.26390532497</v>
      </c>
      <c r="M77" s="23">
        <v>2786.3388592821493</v>
      </c>
      <c r="N77" s="25">
        <f t="shared" si="13"/>
        <v>173.50052822716344</v>
      </c>
      <c r="O77" s="23">
        <f t="shared" si="14"/>
        <v>599.06285474566209</v>
      </c>
      <c r="P77" s="32">
        <v>0.215</v>
      </c>
      <c r="Q77" s="23">
        <v>24884.691071556215</v>
      </c>
      <c r="R77" s="23">
        <v>216.3101771395024</v>
      </c>
      <c r="S77" s="25">
        <f t="shared" si="15"/>
        <v>115.04170261719874</v>
      </c>
      <c r="T77" s="24"/>
      <c r="U77" s="32"/>
      <c r="V77" s="22"/>
      <c r="W77" s="24">
        <f t="shared" si="16"/>
        <v>1208283.8129997896</v>
      </c>
    </row>
    <row r="78" spans="1:23" ht="18" customHeight="1" x14ac:dyDescent="0.25">
      <c r="A78" s="21">
        <v>46099</v>
      </c>
      <c r="B78" s="23">
        <v>803982.32788117684</v>
      </c>
      <c r="C78" s="23">
        <v>5217.2613033291682</v>
      </c>
      <c r="D78" s="25">
        <f t="shared" si="10"/>
        <v>154.10045254358843</v>
      </c>
      <c r="E78" s="23">
        <f t="shared" si="9"/>
        <v>1121.711180215771</v>
      </c>
      <c r="F78" s="32">
        <v>0.215</v>
      </c>
      <c r="G78" s="23">
        <v>471145.19212386711</v>
      </c>
      <c r="H78" s="23">
        <v>5739.7533689405163</v>
      </c>
      <c r="I78" s="25">
        <f t="shared" si="11"/>
        <v>82.084570858631579</v>
      </c>
      <c r="J78" s="23">
        <f t="shared" si="12"/>
        <v>1808.0223112162626</v>
      </c>
      <c r="K78" s="32">
        <v>0.315</v>
      </c>
      <c r="L78" s="23">
        <v>536205.87167789647</v>
      </c>
      <c r="M78" s="23">
        <v>3090.5143468833971</v>
      </c>
      <c r="N78" s="25">
        <f t="shared" si="13"/>
        <v>173.50052822716344</v>
      </c>
      <c r="O78" s="23">
        <f t="shared" si="14"/>
        <v>664.46058457993036</v>
      </c>
      <c r="P78" s="32">
        <v>0.215</v>
      </c>
      <c r="Q78" s="23">
        <v>27601.271294841452</v>
      </c>
      <c r="R78" s="23">
        <v>239.92405073040931</v>
      </c>
      <c r="S78" s="25">
        <f t="shared" si="15"/>
        <v>115.04170261719874</v>
      </c>
      <c r="T78" s="24"/>
      <c r="U78" s="32"/>
      <c r="V78" s="22"/>
      <c r="W78" s="24">
        <f t="shared" si="16"/>
        <v>1340188.1995590734</v>
      </c>
    </row>
    <row r="79" spans="1:23" ht="18" customHeight="1" x14ac:dyDescent="0.25">
      <c r="A79" s="21">
        <v>46100</v>
      </c>
      <c r="B79" s="23">
        <v>760264.99372513418</v>
      </c>
      <c r="C79" s="23">
        <v>4933.5675604851822</v>
      </c>
      <c r="D79" s="25">
        <f t="shared" si="10"/>
        <v>154.10045254358843</v>
      </c>
      <c r="E79" s="23">
        <f t="shared" si="9"/>
        <v>1060.7170255043141</v>
      </c>
      <c r="F79" s="32">
        <v>0.215</v>
      </c>
      <c r="G79" s="23">
        <v>445526.2063752946</v>
      </c>
      <c r="H79" s="23">
        <v>5427.6486033239153</v>
      </c>
      <c r="I79" s="25">
        <f t="shared" si="11"/>
        <v>82.084570858631565</v>
      </c>
      <c r="J79" s="23">
        <f t="shared" si="12"/>
        <v>1709.7093100470333</v>
      </c>
      <c r="K79" s="32">
        <v>0.315</v>
      </c>
      <c r="L79" s="23">
        <v>507049.14713849936</v>
      </c>
      <c r="M79" s="23">
        <v>2922.4645729874792</v>
      </c>
      <c r="N79" s="25">
        <f t="shared" si="13"/>
        <v>173.50052822716347</v>
      </c>
      <c r="O79" s="23">
        <f t="shared" si="14"/>
        <v>628.32988319230799</v>
      </c>
      <c r="P79" s="32">
        <v>0.215</v>
      </c>
      <c r="Q79" s="23">
        <v>26100.424872621948</v>
      </c>
      <c r="R79" s="23">
        <v>226.87794320526626</v>
      </c>
      <c r="S79" s="25">
        <f t="shared" si="15"/>
        <v>115.04170261719875</v>
      </c>
      <c r="T79" s="24"/>
      <c r="U79" s="32"/>
      <c r="V79" s="22"/>
      <c r="W79" s="24">
        <f t="shared" si="16"/>
        <v>1267314.1408636335</v>
      </c>
    </row>
    <row r="80" spans="1:23" ht="18" customHeight="1" x14ac:dyDescent="0.25">
      <c r="A80" s="21">
        <v>46101</v>
      </c>
      <c r="B80" s="23">
        <v>632310.81102935143</v>
      </c>
      <c r="C80" s="23">
        <v>4103.2378594118509</v>
      </c>
      <c r="D80" s="25">
        <f t="shared" si="10"/>
        <v>154.10045254358846</v>
      </c>
      <c r="E80" s="23">
        <f t="shared" si="9"/>
        <v>882.19613977354788</v>
      </c>
      <c r="F80" s="32">
        <v>0.215</v>
      </c>
      <c r="G80" s="23">
        <v>370543.2174479973</v>
      </c>
      <c r="H80" s="23">
        <v>4514.1640331671788</v>
      </c>
      <c r="I80" s="25">
        <f t="shared" si="11"/>
        <v>82.084570858631551</v>
      </c>
      <c r="J80" s="23">
        <f t="shared" si="12"/>
        <v>1421.9616704476614</v>
      </c>
      <c r="K80" s="32">
        <v>0.315</v>
      </c>
      <c r="L80" s="23">
        <v>421711.71907830809</v>
      </c>
      <c r="M80" s="23">
        <v>2430.6076954772316</v>
      </c>
      <c r="N80" s="25">
        <f t="shared" si="13"/>
        <v>173.50052822716344</v>
      </c>
      <c r="O80" s="23">
        <f t="shared" si="14"/>
        <v>522.58065452760479</v>
      </c>
      <c r="P80" s="32">
        <v>0.215</v>
      </c>
      <c r="Q80" s="23">
        <v>21707.668978094414</v>
      </c>
      <c r="R80" s="23">
        <v>188.6939125920857</v>
      </c>
      <c r="S80" s="25">
        <f t="shared" si="15"/>
        <v>115.04170261719874</v>
      </c>
      <c r="T80" s="24"/>
      <c r="U80" s="32"/>
      <c r="V80" s="22"/>
      <c r="W80" s="24">
        <f t="shared" si="16"/>
        <v>1054022.5301076595</v>
      </c>
    </row>
    <row r="81" spans="1:25" ht="18" customHeight="1" x14ac:dyDescent="0.25">
      <c r="A81" s="21">
        <v>46102</v>
      </c>
      <c r="B81" s="23">
        <v>478381.14564163866</v>
      </c>
      <c r="C81" s="23">
        <v>3104.3461439954244</v>
      </c>
      <c r="D81" s="25">
        <f t="shared" si="10"/>
        <v>154.10045254358843</v>
      </c>
      <c r="E81" s="23">
        <f t="shared" si="9"/>
        <v>667.43442095901628</v>
      </c>
      <c r="F81" s="32">
        <v>0.215</v>
      </c>
      <c r="G81" s="23">
        <v>280338.22256485739</v>
      </c>
      <c r="H81" s="23">
        <v>3415.236500994371</v>
      </c>
      <c r="I81" s="25">
        <f t="shared" si="11"/>
        <v>82.084570858631565</v>
      </c>
      <c r="J81" s="23">
        <f t="shared" si="12"/>
        <v>1075.7994978132269</v>
      </c>
      <c r="K81" s="32">
        <v>0.315</v>
      </c>
      <c r="L81" s="23">
        <v>319050.27050663752</v>
      </c>
      <c r="M81" s="23">
        <v>1838.9008596498707</v>
      </c>
      <c r="N81" s="25">
        <f t="shared" si="13"/>
        <v>173.50052822716344</v>
      </c>
      <c r="O81" s="23">
        <f t="shared" si="14"/>
        <v>395.36368482472216</v>
      </c>
      <c r="P81" s="32">
        <v>0.215</v>
      </c>
      <c r="Q81" s="23">
        <v>16423.156735285083</v>
      </c>
      <c r="R81" s="23">
        <v>142.75828992146558</v>
      </c>
      <c r="S81" s="25">
        <f t="shared" si="15"/>
        <v>115.04170261719874</v>
      </c>
      <c r="T81" s="24"/>
      <c r="U81" s="32"/>
      <c r="V81" s="22"/>
      <c r="W81" s="24">
        <f t="shared" si="16"/>
        <v>797431.41614827618</v>
      </c>
    </row>
    <row r="82" spans="1:25" ht="18" customHeight="1" x14ac:dyDescent="0.25">
      <c r="A82" s="21">
        <v>46103</v>
      </c>
      <c r="B82" s="23">
        <v>353532.26601023984</v>
      </c>
      <c r="C82" s="23">
        <v>2294.1676041492524</v>
      </c>
      <c r="D82" s="25">
        <f t="shared" si="10"/>
        <v>154.10045254358843</v>
      </c>
      <c r="E82" s="23">
        <f t="shared" si="9"/>
        <v>493.24603489208926</v>
      </c>
      <c r="F82" s="32">
        <v>0.215</v>
      </c>
      <c r="G82" s="23">
        <v>207174.98583625301</v>
      </c>
      <c r="H82" s="23">
        <v>2523.9211665375678</v>
      </c>
      <c r="I82" s="25">
        <f t="shared" si="11"/>
        <v>82.084570858631551</v>
      </c>
      <c r="J82" s="23">
        <f t="shared" si="12"/>
        <v>795.03516745933382</v>
      </c>
      <c r="K82" s="32">
        <v>0.315</v>
      </c>
      <c r="L82" s="23">
        <v>235783.88515313138</v>
      </c>
      <c r="M82" s="23">
        <v>1358.980791369238</v>
      </c>
      <c r="N82" s="25">
        <f t="shared" si="13"/>
        <v>173.50052822716344</v>
      </c>
      <c r="O82" s="23">
        <f t="shared" si="14"/>
        <v>292.18087014438618</v>
      </c>
      <c r="P82" s="32">
        <v>0.215</v>
      </c>
      <c r="Q82" s="23">
        <v>12137.008050095899</v>
      </c>
      <c r="R82" s="23">
        <v>105.50094247545861</v>
      </c>
      <c r="S82" s="25">
        <f t="shared" si="15"/>
        <v>115.04170261719872</v>
      </c>
      <c r="T82" s="24"/>
      <c r="U82" s="32"/>
      <c r="V82" s="22"/>
      <c r="W82" s="24">
        <f t="shared" si="16"/>
        <v>589316.15116337128</v>
      </c>
    </row>
    <row r="83" spans="1:25" ht="18" customHeight="1" x14ac:dyDescent="0.25">
      <c r="A83" s="21">
        <v>46104</v>
      </c>
      <c r="B83" s="23">
        <v>735729.28733110777</v>
      </c>
      <c r="C83" s="23">
        <v>4774.3486484765599</v>
      </c>
      <c r="D83" s="25">
        <f t="shared" si="10"/>
        <v>154.10045254358846</v>
      </c>
      <c r="E83" s="23">
        <f t="shared" si="9"/>
        <v>1026.4849594224604</v>
      </c>
      <c r="F83" s="32">
        <v>0.215</v>
      </c>
      <c r="G83" s="23">
        <v>431147.93001022394</v>
      </c>
      <c r="H83" s="23">
        <v>5252.4844255171838</v>
      </c>
      <c r="I83" s="25">
        <f t="shared" si="11"/>
        <v>82.084570858631551</v>
      </c>
      <c r="J83" s="23">
        <f t="shared" si="12"/>
        <v>1654.532594037913</v>
      </c>
      <c r="K83" s="32">
        <v>0.315</v>
      </c>
      <c r="L83" s="23">
        <v>490685.36726672796</v>
      </c>
      <c r="M83" s="23">
        <v>2828.1491260030971</v>
      </c>
      <c r="N83" s="25">
        <f t="shared" si="13"/>
        <v>173.50052822716344</v>
      </c>
      <c r="O83" s="23">
        <f t="shared" si="14"/>
        <v>608.05206209066591</v>
      </c>
      <c r="P83" s="32">
        <v>0.215</v>
      </c>
      <c r="Q83" s="23">
        <v>25258.09704387869</v>
      </c>
      <c r="R83" s="23">
        <v>219.55600855391552</v>
      </c>
      <c r="S83" s="25">
        <f t="shared" si="15"/>
        <v>115.04170261719874</v>
      </c>
      <c r="T83" s="24"/>
      <c r="U83" s="32"/>
      <c r="V83" s="22"/>
      <c r="W83" s="24">
        <f t="shared" si="16"/>
        <v>1226414.6545978356</v>
      </c>
    </row>
    <row r="84" spans="1:25" ht="18" customHeight="1" x14ac:dyDescent="0.25">
      <c r="A84" s="21">
        <v>46105</v>
      </c>
      <c r="B84" s="23">
        <v>833609.89154335356</v>
      </c>
      <c r="C84" s="23">
        <v>5409.5226703345397</v>
      </c>
      <c r="D84" s="25">
        <f t="shared" si="10"/>
        <v>154.10045254358843</v>
      </c>
      <c r="E84" s="23">
        <f t="shared" si="9"/>
        <v>1163.0473741219259</v>
      </c>
      <c r="F84" s="32">
        <v>0.215</v>
      </c>
      <c r="G84" s="23">
        <v>488507.36998487276</v>
      </c>
      <c r="H84" s="23">
        <v>5951.2690981377527</v>
      </c>
      <c r="I84" s="25">
        <f t="shared" si="11"/>
        <v>82.084570858631565</v>
      </c>
      <c r="J84" s="23">
        <f t="shared" si="12"/>
        <v>1874.6497659133922</v>
      </c>
      <c r="K84" s="32">
        <v>0.315</v>
      </c>
      <c r="L84" s="23">
        <v>555965.6015230004</v>
      </c>
      <c r="M84" s="23">
        <v>3204.4029329701934</v>
      </c>
      <c r="N84" s="25">
        <f t="shared" si="13"/>
        <v>173.50052822716344</v>
      </c>
      <c r="O84" s="23">
        <f t="shared" si="14"/>
        <v>688.94663058859157</v>
      </c>
      <c r="P84" s="32">
        <v>0.215</v>
      </c>
      <c r="Q84" s="23">
        <v>28618.406117443901</v>
      </c>
      <c r="R84" s="23">
        <v>248.76549517588111</v>
      </c>
      <c r="S84" s="25">
        <f t="shared" si="15"/>
        <v>115.04170261719874</v>
      </c>
      <c r="T84" s="24"/>
      <c r="U84" s="32"/>
      <c r="V84" s="22"/>
      <c r="W84" s="24">
        <f t="shared" si="16"/>
        <v>1389575.493066354</v>
      </c>
    </row>
    <row r="85" spans="1:25" ht="18" customHeight="1" x14ac:dyDescent="0.25">
      <c r="A85" s="21">
        <v>46106</v>
      </c>
      <c r="B85" s="23">
        <v>997559.37309958925</v>
      </c>
      <c r="C85" s="23">
        <v>6473.4357143917041</v>
      </c>
      <c r="D85" s="25">
        <f t="shared" si="10"/>
        <v>154.10045254358843</v>
      </c>
      <c r="E85" s="23">
        <f t="shared" si="9"/>
        <v>1391.7886785942164</v>
      </c>
      <c r="F85" s="32">
        <v>0.215</v>
      </c>
      <c r="G85" s="23">
        <v>584584.1210622139</v>
      </c>
      <c r="H85" s="23">
        <v>7121.7296374613643</v>
      </c>
      <c r="I85" s="25">
        <f t="shared" si="11"/>
        <v>82.084570858631579</v>
      </c>
      <c r="J85" s="23">
        <f t="shared" si="12"/>
        <v>2243.3448358003297</v>
      </c>
      <c r="K85" s="32">
        <v>0.315</v>
      </c>
      <c r="L85" s="23">
        <v>665309.6400924566</v>
      </c>
      <c r="M85" s="23">
        <v>3834.6260203967204</v>
      </c>
      <c r="N85" s="25">
        <f t="shared" si="13"/>
        <v>173.50052822716344</v>
      </c>
      <c r="O85" s="23">
        <f t="shared" si="14"/>
        <v>824.44459438529486</v>
      </c>
      <c r="P85" s="32">
        <v>0.215</v>
      </c>
      <c r="Q85" s="23">
        <v>34246.905603257306</v>
      </c>
      <c r="R85" s="23">
        <v>297.6912269563141</v>
      </c>
      <c r="S85" s="25">
        <f t="shared" si="15"/>
        <v>115.04170261719875</v>
      </c>
      <c r="T85" s="24"/>
      <c r="U85" s="32"/>
      <c r="V85" s="22"/>
      <c r="W85" s="24">
        <f t="shared" si="16"/>
        <v>1662869.013192046</v>
      </c>
    </row>
    <row r="86" spans="1:25" ht="18" customHeight="1" x14ac:dyDescent="0.25">
      <c r="A86" s="21">
        <v>46107</v>
      </c>
      <c r="B86" s="23">
        <v>939302.46751774836</v>
      </c>
      <c r="C86" s="23">
        <v>6095.390714391704</v>
      </c>
      <c r="D86" s="25">
        <f t="shared" si="10"/>
        <v>154.10045254358843</v>
      </c>
      <c r="E86" s="23">
        <f t="shared" si="9"/>
        <v>1310.5090035942164</v>
      </c>
      <c r="F86" s="32">
        <v>0.215</v>
      </c>
      <c r="G86" s="23">
        <v>550444.73761925474</v>
      </c>
      <c r="H86" s="23">
        <v>6705.8246374613645</v>
      </c>
      <c r="I86" s="25">
        <f t="shared" si="11"/>
        <v>82.084570858631565</v>
      </c>
      <c r="J86" s="23">
        <f t="shared" si="12"/>
        <v>2112.3347608003301</v>
      </c>
      <c r="K86" s="32">
        <v>0.315</v>
      </c>
      <c r="L86" s="23">
        <v>626455.93180126569</v>
      </c>
      <c r="M86" s="23">
        <v>3610.6860203967203</v>
      </c>
      <c r="N86" s="25">
        <f t="shared" si="13"/>
        <v>173.50052822716347</v>
      </c>
      <c r="O86" s="23">
        <f t="shared" si="14"/>
        <v>776.29749438529484</v>
      </c>
      <c r="P86" s="32">
        <v>0.215</v>
      </c>
      <c r="Q86" s="23">
        <v>32246.905603257303</v>
      </c>
      <c r="R86" s="23">
        <v>280.30622695631411</v>
      </c>
      <c r="S86" s="25">
        <f t="shared" si="15"/>
        <v>115.04170261719874</v>
      </c>
      <c r="T86" s="24"/>
      <c r="U86" s="32"/>
      <c r="V86" s="22"/>
      <c r="W86" s="24">
        <f t="shared" si="16"/>
        <v>1565758.399319014</v>
      </c>
    </row>
    <row r="87" spans="1:25" ht="18" customHeight="1" x14ac:dyDescent="0.25">
      <c r="A87" s="21">
        <v>46108</v>
      </c>
      <c r="B87" s="23">
        <v>897357.49549882289</v>
      </c>
      <c r="C87" s="23">
        <v>5823.1983143917032</v>
      </c>
      <c r="D87" s="25">
        <f t="shared" si="10"/>
        <v>154.10045254358843</v>
      </c>
      <c r="E87" s="23">
        <f t="shared" si="9"/>
        <v>1251.9876375942163</v>
      </c>
      <c r="F87" s="32">
        <v>0.215</v>
      </c>
      <c r="G87" s="23">
        <v>525864.38154032407</v>
      </c>
      <c r="H87" s="23">
        <v>6406.3730374613642</v>
      </c>
      <c r="I87" s="25">
        <f t="shared" si="11"/>
        <v>82.084570858631565</v>
      </c>
      <c r="J87" s="23">
        <f t="shared" si="12"/>
        <v>2018.0075068003298</v>
      </c>
      <c r="K87" s="32">
        <v>0.315</v>
      </c>
      <c r="L87" s="23">
        <v>598481.26183160814</v>
      </c>
      <c r="M87" s="23">
        <v>3449.4492203967202</v>
      </c>
      <c r="N87" s="25">
        <f t="shared" si="13"/>
        <v>173.50052822716347</v>
      </c>
      <c r="O87" s="23">
        <f t="shared" si="14"/>
        <v>741.63158238529479</v>
      </c>
      <c r="P87" s="32">
        <v>0.215</v>
      </c>
      <c r="Q87" s="23">
        <v>30806.905603257303</v>
      </c>
      <c r="R87" s="23">
        <v>267.7890269563141</v>
      </c>
      <c r="S87" s="25">
        <f t="shared" si="15"/>
        <v>115.04170261719874</v>
      </c>
      <c r="T87" s="24"/>
      <c r="U87" s="32"/>
      <c r="V87" s="22"/>
      <c r="W87" s="24">
        <f t="shared" si="16"/>
        <v>1495838.7573304311</v>
      </c>
    </row>
    <row r="88" spans="1:25" ht="18" customHeight="1" x14ac:dyDescent="0.25">
      <c r="A88" s="21">
        <v>46109</v>
      </c>
      <c r="B88" s="23">
        <v>610996.1001696235</v>
      </c>
      <c r="C88" s="23">
        <v>3964.9208687222954</v>
      </c>
      <c r="D88" s="25">
        <f t="shared" si="10"/>
        <v>154.10045254358843</v>
      </c>
      <c r="E88" s="23">
        <f t="shared" si="9"/>
        <v>852.45798677529353</v>
      </c>
      <c r="F88" s="32">
        <v>0.215</v>
      </c>
      <c r="G88" s="23">
        <v>358052.49073073629</v>
      </c>
      <c r="H88" s="23">
        <v>4361.9950373790061</v>
      </c>
      <c r="I88" s="25">
        <f t="shared" si="11"/>
        <v>82.084570858631565</v>
      </c>
      <c r="J88" s="23">
        <f t="shared" si="12"/>
        <v>1374.028436774387</v>
      </c>
      <c r="K88" s="32">
        <v>0.315</v>
      </c>
      <c r="L88" s="23">
        <v>407496.14154661907</v>
      </c>
      <c r="M88" s="23">
        <v>2348.6737804802892</v>
      </c>
      <c r="N88" s="25">
        <f t="shared" si="13"/>
        <v>173.50052822716344</v>
      </c>
      <c r="O88" s="23">
        <f t="shared" si="14"/>
        <v>504.96486280326218</v>
      </c>
      <c r="P88" s="32">
        <v>0.215</v>
      </c>
      <c r="Q88" s="23">
        <v>20975.920161474405</v>
      </c>
      <c r="R88" s="23">
        <v>182.33318600361625</v>
      </c>
      <c r="S88" s="25">
        <f t="shared" si="15"/>
        <v>115.04170261719875</v>
      </c>
      <c r="T88" s="24"/>
      <c r="U88" s="32"/>
      <c r="V88" s="22"/>
      <c r="W88" s="24">
        <f t="shared" si="16"/>
        <v>1018492.2417162426</v>
      </c>
    </row>
    <row r="89" spans="1:25" ht="18" customHeight="1" x14ac:dyDescent="0.25">
      <c r="A89" s="21">
        <v>46110</v>
      </c>
      <c r="B89" s="23">
        <v>295610.80607283814</v>
      </c>
      <c r="C89" s="23">
        <v>1918.2994027173443</v>
      </c>
      <c r="D89" s="25">
        <f t="shared" si="10"/>
        <v>154.10045254358843</v>
      </c>
      <c r="E89" s="23">
        <f t="shared" si="9"/>
        <v>412.43437158422898</v>
      </c>
      <c r="F89" s="32">
        <v>0.215</v>
      </c>
      <c r="G89" s="23">
        <v>173232.17835910263</v>
      </c>
      <c r="H89" s="23">
        <v>2110.4109645337385</v>
      </c>
      <c r="I89" s="25">
        <f t="shared" si="11"/>
        <v>82.084570858631565</v>
      </c>
      <c r="J89" s="23">
        <f t="shared" si="12"/>
        <v>664.77945382812766</v>
      </c>
      <c r="K89" s="32">
        <v>0.315</v>
      </c>
      <c r="L89" s="23">
        <v>197153.89810299195</v>
      </c>
      <c r="M89" s="23">
        <v>1136.3302470460451</v>
      </c>
      <c r="N89" s="25">
        <f t="shared" si="13"/>
        <v>173.50052822716344</v>
      </c>
      <c r="O89" s="23">
        <f t="shared" si="14"/>
        <v>244.31100311489968</v>
      </c>
      <c r="P89" s="32">
        <v>0.215</v>
      </c>
      <c r="Q89" s="23">
        <v>10148.524131875012</v>
      </c>
      <c r="R89" s="23">
        <v>88.216046016323531</v>
      </c>
      <c r="S89" s="25">
        <f t="shared" si="15"/>
        <v>115.04170261719875</v>
      </c>
      <c r="T89" s="24"/>
      <c r="U89" s="32"/>
      <c r="V89" s="22"/>
      <c r="W89" s="24">
        <f t="shared" si="16"/>
        <v>492764.70417583012</v>
      </c>
    </row>
    <row r="90" spans="1:25" ht="18" customHeight="1" x14ac:dyDescent="0.25">
      <c r="A90" s="21">
        <v>46111</v>
      </c>
      <c r="B90" s="23">
        <v>1200608.4658825477</v>
      </c>
      <c r="C90" s="23">
        <v>7791.0768337487316</v>
      </c>
      <c r="D90" s="25">
        <f t="shared" si="10"/>
        <v>154.10045254358843</v>
      </c>
      <c r="E90" s="23">
        <f t="shared" si="9"/>
        <v>1675.0815192559774</v>
      </c>
      <c r="F90" s="32">
        <v>0.215</v>
      </c>
      <c r="G90" s="23">
        <v>703573.80592496693</v>
      </c>
      <c r="H90" s="23">
        <v>8571.3283089057295</v>
      </c>
      <c r="I90" s="25">
        <f t="shared" si="11"/>
        <v>82.084570858631551</v>
      </c>
      <c r="J90" s="23">
        <f t="shared" si="12"/>
        <v>2699.9684173053047</v>
      </c>
      <c r="K90" s="32">
        <v>0.315</v>
      </c>
      <c r="L90" s="23">
        <v>800730.67114425299</v>
      </c>
      <c r="M90" s="23">
        <v>4615.1483187178537</v>
      </c>
      <c r="N90" s="25">
        <f t="shared" si="13"/>
        <v>173.50052822716347</v>
      </c>
      <c r="O90" s="23">
        <f t="shared" si="14"/>
        <v>992.25688852433859</v>
      </c>
      <c r="P90" s="32">
        <v>0.215</v>
      </c>
      <c r="Q90" s="23">
        <v>41217.721878341108</v>
      </c>
      <c r="R90" s="23">
        <v>358.28504742748009</v>
      </c>
      <c r="S90" s="25">
        <f t="shared" si="15"/>
        <v>115.04170261719874</v>
      </c>
      <c r="T90" s="24"/>
      <c r="U90" s="32"/>
      <c r="V90" s="22"/>
      <c r="W90" s="24">
        <f t="shared" si="16"/>
        <v>2001339.1370268008</v>
      </c>
    </row>
    <row r="91" spans="1:25" ht="18" customHeight="1" x14ac:dyDescent="0.25">
      <c r="A91" s="21">
        <v>46112</v>
      </c>
      <c r="B91" s="23">
        <v>1313319.3101509875</v>
      </c>
      <c r="C91" s="23">
        <v>8522.488341035245</v>
      </c>
      <c r="D91" s="25">
        <f t="shared" si="10"/>
        <v>154.10045254358843</v>
      </c>
      <c r="E91" s="23">
        <f t="shared" si="9"/>
        <v>1832.3349933225777</v>
      </c>
      <c r="F91" s="32">
        <v>0.215</v>
      </c>
      <c r="G91" s="23">
        <v>769623.97958642791</v>
      </c>
      <c r="H91" s="23">
        <v>9375.988343922716</v>
      </c>
      <c r="I91" s="25">
        <f t="shared" si="11"/>
        <v>82.084570858631579</v>
      </c>
      <c r="J91" s="23">
        <f t="shared" si="12"/>
        <v>2953.4363283356556</v>
      </c>
      <c r="K91" s="32">
        <v>0.315</v>
      </c>
      <c r="L91" s="23">
        <v>875901.7469286978</v>
      </c>
      <c r="M91" s="23">
        <v>5048.409684274181</v>
      </c>
      <c r="N91" s="25">
        <f t="shared" si="13"/>
        <v>173.50052822716344</v>
      </c>
      <c r="O91" s="23">
        <f t="shared" si="14"/>
        <v>1085.4080821189489</v>
      </c>
      <c r="P91" s="32">
        <v>0.215</v>
      </c>
      <c r="Q91" s="23">
        <v>45087.163385497734</v>
      </c>
      <c r="R91" s="23">
        <v>391.92016772843903</v>
      </c>
      <c r="S91" s="25">
        <f t="shared" si="15"/>
        <v>115.04170261719874</v>
      </c>
      <c r="T91" s="24"/>
      <c r="U91" s="32"/>
      <c r="V91" s="22"/>
      <c r="W91" s="24">
        <f t="shared" si="16"/>
        <v>2189221.0570796854</v>
      </c>
    </row>
    <row r="92" spans="1:25" s="18" customFormat="1" ht="18" customHeight="1" x14ac:dyDescent="0.25">
      <c r="A92" s="21">
        <v>46113</v>
      </c>
      <c r="B92" s="23">
        <v>908594.20196252142</v>
      </c>
      <c r="C92" s="23">
        <v>5893.4512324550114</v>
      </c>
      <c r="D92" s="25">
        <f t="shared" si="10"/>
        <v>154.17014006308014</v>
      </c>
      <c r="E92" s="23">
        <f t="shared" si="9"/>
        <v>1267.0920149778274</v>
      </c>
      <c r="F92" s="32">
        <v>0.215</v>
      </c>
      <c r="G92" s="23">
        <v>520765.37703214888</v>
      </c>
      <c r="H92" s="23">
        <v>6171.3201896973605</v>
      </c>
      <c r="I92" s="25">
        <f t="shared" si="11"/>
        <v>84.384760638661177</v>
      </c>
      <c r="J92" s="23">
        <f t="shared" si="12"/>
        <v>1943.9658597546686</v>
      </c>
      <c r="K92" s="32">
        <v>0.315</v>
      </c>
      <c r="L92" s="23">
        <v>497920.57300532929</v>
      </c>
      <c r="M92" s="23">
        <v>2824.8361502099551</v>
      </c>
      <c r="N92" s="25">
        <f t="shared" si="13"/>
        <v>176.26529346430289</v>
      </c>
      <c r="O92" s="23">
        <f t="shared" si="14"/>
        <v>607.33977229514039</v>
      </c>
      <c r="P92" s="32">
        <v>0.215</v>
      </c>
      <c r="Q92" s="23">
        <v>36290</v>
      </c>
      <c r="R92" s="23">
        <v>311.49164602632317</v>
      </c>
      <c r="S92" s="25">
        <f t="shared" si="15"/>
        <v>116.50392703287217</v>
      </c>
      <c r="T92" s="24"/>
      <c r="U92" s="32"/>
      <c r="V92" s="22"/>
      <c r="W92" s="24">
        <f t="shared" si="16"/>
        <v>1406514.7749678507</v>
      </c>
      <c r="X92"/>
      <c r="Y92"/>
    </row>
    <row r="93" spans="1:25" ht="18" customHeight="1" x14ac:dyDescent="0.25">
      <c r="A93" s="21">
        <v>46114</v>
      </c>
      <c r="B93" s="23">
        <v>872916.41916294582</v>
      </c>
      <c r="C93" s="23">
        <v>5662.0329903429038</v>
      </c>
      <c r="D93" s="25">
        <f t="shared" si="10"/>
        <v>154.17014006308011</v>
      </c>
      <c r="E93" s="23">
        <f t="shared" si="9"/>
        <v>1217.3370929237242</v>
      </c>
      <c r="F93" s="32">
        <v>0.215</v>
      </c>
      <c r="G93" s="23">
        <v>500316.47479266656</v>
      </c>
      <c r="H93" s="23">
        <v>5928.9908628767835</v>
      </c>
      <c r="I93" s="25">
        <f t="shared" si="11"/>
        <v>84.384760638661177</v>
      </c>
      <c r="J93" s="23">
        <f t="shared" si="12"/>
        <v>1867.6321218061869</v>
      </c>
      <c r="K93" s="32">
        <v>0.315</v>
      </c>
      <c r="L93" s="23">
        <v>478368.718044387</v>
      </c>
      <c r="M93" s="23">
        <v>2713.9132647305064</v>
      </c>
      <c r="N93" s="25">
        <f t="shared" si="13"/>
        <v>176.26529346430289</v>
      </c>
      <c r="O93" s="23">
        <f t="shared" si="14"/>
        <v>583.49135191705886</v>
      </c>
      <c r="P93" s="32">
        <v>0.215</v>
      </c>
      <c r="Q93" s="23">
        <v>34865</v>
      </c>
      <c r="R93" s="23">
        <v>299.26029866926859</v>
      </c>
      <c r="S93" s="25">
        <f t="shared" si="15"/>
        <v>116.50392703287217</v>
      </c>
      <c r="T93" s="24"/>
      <c r="U93" s="32"/>
      <c r="V93" s="22"/>
      <c r="W93" s="24">
        <f t="shared" si="16"/>
        <v>1351285.1372073328</v>
      </c>
    </row>
    <row r="94" spans="1:25" ht="18" customHeight="1" x14ac:dyDescent="0.25">
      <c r="A94" s="21">
        <v>46115</v>
      </c>
      <c r="B94" s="23">
        <v>551816.37396676687</v>
      </c>
      <c r="C94" s="23">
        <v>3579.2688113339336</v>
      </c>
      <c r="D94" s="25">
        <f t="shared" si="10"/>
        <v>154.17014006308014</v>
      </c>
      <c r="E94" s="23">
        <f t="shared" si="9"/>
        <v>769.5427944367957</v>
      </c>
      <c r="F94" s="32">
        <v>0.215</v>
      </c>
      <c r="G94" s="23">
        <v>316276.35463732603</v>
      </c>
      <c r="H94" s="23">
        <v>3748.0269214915907</v>
      </c>
      <c r="I94" s="25">
        <f t="shared" si="11"/>
        <v>84.384760638661191</v>
      </c>
      <c r="J94" s="23">
        <f t="shared" si="12"/>
        <v>1180.628480269851</v>
      </c>
      <c r="K94" s="32">
        <v>0.315</v>
      </c>
      <c r="L94" s="23">
        <v>302402.02339590678</v>
      </c>
      <c r="M94" s="23">
        <v>1715.6072954154699</v>
      </c>
      <c r="N94" s="25">
        <f t="shared" si="13"/>
        <v>176.26529346430289</v>
      </c>
      <c r="O94" s="23">
        <f t="shared" si="14"/>
        <v>368.85556851432602</v>
      </c>
      <c r="P94" s="32">
        <v>0.215</v>
      </c>
      <c r="Q94" s="23">
        <v>22040</v>
      </c>
      <c r="R94" s="23">
        <v>189.17817245577743</v>
      </c>
      <c r="S94" s="25">
        <f t="shared" si="15"/>
        <v>116.50392703287217</v>
      </c>
      <c r="T94" s="24"/>
      <c r="U94" s="32"/>
      <c r="V94" s="22"/>
      <c r="W94" s="24">
        <f t="shared" si="16"/>
        <v>854218.39736267366</v>
      </c>
    </row>
    <row r="95" spans="1:25" ht="18" customHeight="1" x14ac:dyDescent="0.25">
      <c r="A95" s="21">
        <v>46116</v>
      </c>
      <c r="B95" s="23">
        <v>642200.09039235802</v>
      </c>
      <c r="C95" s="23">
        <v>4165.5283580179403</v>
      </c>
      <c r="D95" s="25">
        <f t="shared" si="10"/>
        <v>154.17014006308011</v>
      </c>
      <c r="E95" s="23">
        <f t="shared" si="9"/>
        <v>895.58859697385719</v>
      </c>
      <c r="F95" s="32">
        <v>0.215</v>
      </c>
      <c r="G95" s="23">
        <v>368080.24031068117</v>
      </c>
      <c r="H95" s="23">
        <v>4361.9278827703856</v>
      </c>
      <c r="I95" s="25">
        <f t="shared" si="11"/>
        <v>84.384760638661191</v>
      </c>
      <c r="J95" s="23">
        <f t="shared" si="12"/>
        <v>1374.0072830726715</v>
      </c>
      <c r="K95" s="32">
        <v>0.315</v>
      </c>
      <c r="L95" s="23">
        <v>351933.38929696049</v>
      </c>
      <c r="M95" s="23">
        <v>1996.6119386300729</v>
      </c>
      <c r="N95" s="25">
        <f t="shared" si="13"/>
        <v>176.26529346430289</v>
      </c>
      <c r="O95" s="23">
        <f t="shared" si="14"/>
        <v>429.27156680546568</v>
      </c>
      <c r="P95" s="32">
        <v>0.215</v>
      </c>
      <c r="Q95" s="23">
        <v>25650</v>
      </c>
      <c r="R95" s="23">
        <v>220.16425242698236</v>
      </c>
      <c r="S95" s="25">
        <f t="shared" si="15"/>
        <v>116.50392703287216</v>
      </c>
      <c r="T95" s="24"/>
      <c r="U95" s="32"/>
      <c r="V95" s="22"/>
      <c r="W95" s="24">
        <f t="shared" si="16"/>
        <v>994133.47968931845</v>
      </c>
    </row>
    <row r="96" spans="1:25" ht="18" customHeight="1" x14ac:dyDescent="0.25">
      <c r="A96" s="21">
        <v>46117</v>
      </c>
      <c r="B96" s="23">
        <v>568466.00593990216</v>
      </c>
      <c r="C96" s="23">
        <v>3687.263990986251</v>
      </c>
      <c r="D96" s="25">
        <f t="shared" si="10"/>
        <v>154.17014006308014</v>
      </c>
      <c r="E96" s="23">
        <f t="shared" si="9"/>
        <v>792.7617580620439</v>
      </c>
      <c r="F96" s="32">
        <v>0.215</v>
      </c>
      <c r="G96" s="23">
        <v>325819.17568241782</v>
      </c>
      <c r="H96" s="23">
        <v>3861.1139406745269</v>
      </c>
      <c r="I96" s="25">
        <f t="shared" si="11"/>
        <v>84.384760638661191</v>
      </c>
      <c r="J96" s="23">
        <f t="shared" si="12"/>
        <v>1216.2508913124759</v>
      </c>
      <c r="K96" s="32">
        <v>0.315</v>
      </c>
      <c r="L96" s="23">
        <v>311526.22237767989</v>
      </c>
      <c r="M96" s="23">
        <v>1767.3713086392129</v>
      </c>
      <c r="N96" s="25">
        <f t="shared" si="13"/>
        <v>176.26529346430289</v>
      </c>
      <c r="O96" s="23">
        <f t="shared" si="14"/>
        <v>379.98483135743078</v>
      </c>
      <c r="P96" s="32">
        <v>0.215</v>
      </c>
      <c r="Q96" s="23">
        <v>22705</v>
      </c>
      <c r="R96" s="23">
        <v>194.88613455573625</v>
      </c>
      <c r="S96" s="25">
        <f t="shared" si="15"/>
        <v>116.50392703287216</v>
      </c>
      <c r="T96" s="24"/>
      <c r="U96" s="32"/>
      <c r="V96" s="22"/>
      <c r="W96" s="24">
        <f t="shared" si="16"/>
        <v>879992.22831758205</v>
      </c>
    </row>
    <row r="97" spans="1:23" ht="18" customHeight="1" x14ac:dyDescent="0.25">
      <c r="A97" s="21">
        <v>46118</v>
      </c>
      <c r="B97" s="23">
        <v>932379.39049557166</v>
      </c>
      <c r="C97" s="23">
        <v>6047.7300605297505</v>
      </c>
      <c r="D97" s="25">
        <f t="shared" si="10"/>
        <v>154.17014006308011</v>
      </c>
      <c r="E97" s="23">
        <f t="shared" si="9"/>
        <v>1300.2619630138963</v>
      </c>
      <c r="F97" s="32">
        <v>0.215</v>
      </c>
      <c r="G97" s="23">
        <v>534397.97852513706</v>
      </c>
      <c r="H97" s="23">
        <v>6332.8730742444122</v>
      </c>
      <c r="I97" s="25">
        <f t="shared" si="11"/>
        <v>84.384760638661177</v>
      </c>
      <c r="J97" s="23">
        <f t="shared" si="12"/>
        <v>1994.85501838699</v>
      </c>
      <c r="K97" s="32">
        <v>0.315</v>
      </c>
      <c r="L97" s="23">
        <v>510955.1429792908</v>
      </c>
      <c r="M97" s="23">
        <v>2898.7847405295875</v>
      </c>
      <c r="N97" s="25">
        <f t="shared" si="13"/>
        <v>176.26529346430289</v>
      </c>
      <c r="O97" s="23">
        <f t="shared" si="14"/>
        <v>623.23871921386126</v>
      </c>
      <c r="P97" s="32">
        <v>0.215</v>
      </c>
      <c r="Q97" s="23">
        <v>37240</v>
      </c>
      <c r="R97" s="23">
        <v>319.6458775976929</v>
      </c>
      <c r="S97" s="25">
        <f t="shared" si="15"/>
        <v>116.50392703287216</v>
      </c>
      <c r="T97" s="24"/>
      <c r="U97" s="32"/>
      <c r="V97" s="22"/>
      <c r="W97" s="24">
        <f t="shared" si="16"/>
        <v>1443334.5334748626</v>
      </c>
    </row>
    <row r="98" spans="1:23" ht="18" customHeight="1" x14ac:dyDescent="0.25">
      <c r="A98" s="21">
        <v>46119</v>
      </c>
      <c r="B98" s="23">
        <v>956164.57902862178</v>
      </c>
      <c r="C98" s="23">
        <v>6202.0088886044878</v>
      </c>
      <c r="D98" s="25">
        <f t="shared" si="10"/>
        <v>154.17014006308011</v>
      </c>
      <c r="E98" s="23">
        <f t="shared" ref="E98:E129" si="17">F98*C98</f>
        <v>1333.4319110499648</v>
      </c>
      <c r="F98" s="32">
        <v>0.215</v>
      </c>
      <c r="G98" s="23">
        <v>548030.58001812524</v>
      </c>
      <c r="H98" s="23">
        <v>6494.4259587914621</v>
      </c>
      <c r="I98" s="25">
        <f t="shared" si="11"/>
        <v>84.384760638661191</v>
      </c>
      <c r="J98" s="23">
        <f t="shared" si="12"/>
        <v>2045.7441770193107</v>
      </c>
      <c r="K98" s="32">
        <v>0.315</v>
      </c>
      <c r="L98" s="23">
        <v>523989.71295325219</v>
      </c>
      <c r="M98" s="23">
        <v>2972.7333308492193</v>
      </c>
      <c r="N98" s="25">
        <f t="shared" si="13"/>
        <v>176.26529346430286</v>
      </c>
      <c r="O98" s="23">
        <f t="shared" si="14"/>
        <v>639.13766613258213</v>
      </c>
      <c r="P98" s="32">
        <v>0.215</v>
      </c>
      <c r="Q98" s="23">
        <v>38189.999999999993</v>
      </c>
      <c r="R98" s="23">
        <v>327.80010916906258</v>
      </c>
      <c r="S98" s="25">
        <f t="shared" si="15"/>
        <v>116.50392703287216</v>
      </c>
      <c r="T98" s="24"/>
      <c r="U98" s="32"/>
      <c r="V98" s="22"/>
      <c r="W98" s="24">
        <f t="shared" si="16"/>
        <v>1480154.291981874</v>
      </c>
    </row>
    <row r="99" spans="1:23" ht="18" customHeight="1" x14ac:dyDescent="0.25">
      <c r="A99" s="21">
        <v>46120</v>
      </c>
      <c r="B99" s="23">
        <v>968057.17329514702</v>
      </c>
      <c r="C99" s="23">
        <v>6279.1483026418573</v>
      </c>
      <c r="D99" s="25">
        <f t="shared" si="10"/>
        <v>154.17014006308014</v>
      </c>
      <c r="E99" s="23">
        <f t="shared" si="17"/>
        <v>1350.0168850679993</v>
      </c>
      <c r="F99" s="32">
        <v>0.215</v>
      </c>
      <c r="G99" s="23">
        <v>554846.88076461933</v>
      </c>
      <c r="H99" s="23">
        <v>6575.2024010649884</v>
      </c>
      <c r="I99" s="25">
        <f t="shared" si="11"/>
        <v>84.384760638661177</v>
      </c>
      <c r="J99" s="23">
        <f t="shared" si="12"/>
        <v>2071.1887563354712</v>
      </c>
      <c r="K99" s="32">
        <v>0.315</v>
      </c>
      <c r="L99" s="23">
        <v>530506.99794023298</v>
      </c>
      <c r="M99" s="23">
        <v>3009.7076260090357</v>
      </c>
      <c r="N99" s="25">
        <f t="shared" si="13"/>
        <v>176.26529346430286</v>
      </c>
      <c r="O99" s="23">
        <f t="shared" si="14"/>
        <v>647.08713959194267</v>
      </c>
      <c r="P99" s="32">
        <v>0.215</v>
      </c>
      <c r="Q99" s="23">
        <v>38664.999999999993</v>
      </c>
      <c r="R99" s="23">
        <v>331.87722495474742</v>
      </c>
      <c r="S99" s="25">
        <f t="shared" si="15"/>
        <v>116.50392703287216</v>
      </c>
      <c r="T99" s="24"/>
      <c r="U99" s="32"/>
      <c r="V99" s="22"/>
      <c r="W99" s="24">
        <f t="shared" si="16"/>
        <v>1498564.17123538</v>
      </c>
    </row>
    <row r="100" spans="1:23" ht="18" customHeight="1" x14ac:dyDescent="0.25">
      <c r="A100" s="21">
        <v>46121</v>
      </c>
      <c r="B100" s="23">
        <v>920486.79622904654</v>
      </c>
      <c r="C100" s="23">
        <v>5970.590646492381</v>
      </c>
      <c r="D100" s="25">
        <f t="shared" si="10"/>
        <v>154.17014006308014</v>
      </c>
      <c r="E100" s="23">
        <f t="shared" si="17"/>
        <v>1283.6769889958618</v>
      </c>
      <c r="F100" s="32">
        <v>0.215</v>
      </c>
      <c r="G100" s="23">
        <v>527581.67777864297</v>
      </c>
      <c r="H100" s="23">
        <v>6252.0966319708859</v>
      </c>
      <c r="I100" s="25">
        <f t="shared" si="11"/>
        <v>84.384760638661177</v>
      </c>
      <c r="J100" s="23">
        <f t="shared" si="12"/>
        <v>1969.4104390708292</v>
      </c>
      <c r="K100" s="32">
        <v>0.315</v>
      </c>
      <c r="L100" s="23">
        <v>504437.85799231002</v>
      </c>
      <c r="M100" s="23">
        <v>2861.8104453697711</v>
      </c>
      <c r="N100" s="25">
        <f t="shared" si="13"/>
        <v>176.26529346430289</v>
      </c>
      <c r="O100" s="23">
        <f t="shared" si="14"/>
        <v>615.28924575450071</v>
      </c>
      <c r="P100" s="32">
        <v>0.215</v>
      </c>
      <c r="Q100" s="23">
        <v>36765</v>
      </c>
      <c r="R100" s="23">
        <v>315.56876181200806</v>
      </c>
      <c r="S100" s="25">
        <f t="shared" si="15"/>
        <v>116.50392703287216</v>
      </c>
      <c r="T100" s="24"/>
      <c r="U100" s="32"/>
      <c r="V100" s="22"/>
      <c r="W100" s="24">
        <f t="shared" si="16"/>
        <v>1424924.6542213566</v>
      </c>
    </row>
    <row r="101" spans="1:23" ht="18" customHeight="1" x14ac:dyDescent="0.25">
      <c r="A101" s="21">
        <v>46122</v>
      </c>
      <c r="B101" s="23">
        <v>849131.23062989558</v>
      </c>
      <c r="C101" s="23">
        <v>5507.7541622681647</v>
      </c>
      <c r="D101" s="25">
        <f t="shared" si="10"/>
        <v>154.17014006308014</v>
      </c>
      <c r="E101" s="23">
        <f t="shared" si="17"/>
        <v>1184.1671448876555</v>
      </c>
      <c r="F101" s="32">
        <v>0.215</v>
      </c>
      <c r="G101" s="23">
        <v>486683.87329967838</v>
      </c>
      <c r="H101" s="23">
        <v>5767.4379783297318</v>
      </c>
      <c r="I101" s="25">
        <f t="shared" si="11"/>
        <v>84.384760638661177</v>
      </c>
      <c r="J101" s="23">
        <f t="shared" si="12"/>
        <v>1816.7429631738655</v>
      </c>
      <c r="K101" s="32">
        <v>0.315</v>
      </c>
      <c r="L101" s="23">
        <v>465334.14807042549</v>
      </c>
      <c r="M101" s="23">
        <v>2639.9646744108741</v>
      </c>
      <c r="N101" s="25">
        <f t="shared" si="13"/>
        <v>176.26529346430286</v>
      </c>
      <c r="O101" s="23">
        <f t="shared" si="14"/>
        <v>567.59240499833788</v>
      </c>
      <c r="P101" s="32">
        <v>0.215</v>
      </c>
      <c r="Q101" s="23">
        <v>33914.999999999993</v>
      </c>
      <c r="R101" s="23">
        <v>291.10606709789886</v>
      </c>
      <c r="S101" s="25">
        <f t="shared" si="15"/>
        <v>116.50392703287216</v>
      </c>
      <c r="T101" s="24"/>
      <c r="U101" s="32"/>
      <c r="V101" s="22"/>
      <c r="W101" s="24">
        <f t="shared" si="16"/>
        <v>1314465.3787003211</v>
      </c>
    </row>
    <row r="102" spans="1:23" ht="18" customHeight="1" x14ac:dyDescent="0.25">
      <c r="A102" s="21">
        <v>46123</v>
      </c>
      <c r="B102" s="23">
        <v>642200.09039235802</v>
      </c>
      <c r="C102" s="23">
        <v>4165.5283580179403</v>
      </c>
      <c r="D102" s="25">
        <f t="shared" si="10"/>
        <v>154.17014006308011</v>
      </c>
      <c r="E102" s="23">
        <f t="shared" si="17"/>
        <v>895.58859697385719</v>
      </c>
      <c r="F102" s="32">
        <v>0.215</v>
      </c>
      <c r="G102" s="23">
        <v>368080.24031068117</v>
      </c>
      <c r="H102" s="23">
        <v>4361.9278827703856</v>
      </c>
      <c r="I102" s="25">
        <f t="shared" si="11"/>
        <v>84.384760638661191</v>
      </c>
      <c r="J102" s="23">
        <f t="shared" si="12"/>
        <v>1374.0072830726715</v>
      </c>
      <c r="K102" s="32">
        <v>0.315</v>
      </c>
      <c r="L102" s="23">
        <v>351933.38929696049</v>
      </c>
      <c r="M102" s="23">
        <v>1996.6119386300729</v>
      </c>
      <c r="N102" s="25">
        <f t="shared" si="13"/>
        <v>176.26529346430289</v>
      </c>
      <c r="O102" s="23">
        <f t="shared" si="14"/>
        <v>429.27156680546568</v>
      </c>
      <c r="P102" s="32">
        <v>0.215</v>
      </c>
      <c r="Q102" s="23">
        <v>25650</v>
      </c>
      <c r="R102" s="23">
        <v>220.16425242698236</v>
      </c>
      <c r="S102" s="25">
        <f t="shared" si="15"/>
        <v>116.50392703287216</v>
      </c>
      <c r="T102" s="24"/>
      <c r="U102" s="32"/>
      <c r="V102" s="22"/>
      <c r="W102" s="24">
        <f t="shared" si="16"/>
        <v>994133.47968931845</v>
      </c>
    </row>
    <row r="103" spans="1:23" ht="18" customHeight="1" x14ac:dyDescent="0.25">
      <c r="A103" s="21">
        <v>46124</v>
      </c>
      <c r="B103" s="23">
        <v>568466.00593990216</v>
      </c>
      <c r="C103" s="23">
        <v>3687.263990986251</v>
      </c>
      <c r="D103" s="25">
        <f t="shared" si="10"/>
        <v>154.17014006308014</v>
      </c>
      <c r="E103" s="23">
        <f t="shared" si="17"/>
        <v>792.7617580620439</v>
      </c>
      <c r="F103" s="32">
        <v>0.215</v>
      </c>
      <c r="G103" s="23">
        <v>325819.17568241782</v>
      </c>
      <c r="H103" s="23">
        <v>3861.1139406745269</v>
      </c>
      <c r="I103" s="25">
        <f t="shared" si="11"/>
        <v>84.384760638661191</v>
      </c>
      <c r="J103" s="23">
        <f t="shared" si="12"/>
        <v>1216.2508913124759</v>
      </c>
      <c r="K103" s="32">
        <v>0.315</v>
      </c>
      <c r="L103" s="23">
        <v>311526.22237767989</v>
      </c>
      <c r="M103" s="23">
        <v>1767.3713086392129</v>
      </c>
      <c r="N103" s="25">
        <f t="shared" si="13"/>
        <v>176.26529346430289</v>
      </c>
      <c r="O103" s="23">
        <f t="shared" si="14"/>
        <v>379.98483135743078</v>
      </c>
      <c r="P103" s="32">
        <v>0.215</v>
      </c>
      <c r="Q103" s="23">
        <v>22705</v>
      </c>
      <c r="R103" s="23">
        <v>194.88613455573625</v>
      </c>
      <c r="S103" s="25">
        <f t="shared" si="15"/>
        <v>116.50392703287216</v>
      </c>
      <c r="T103" s="24"/>
      <c r="U103" s="32"/>
      <c r="V103" s="22"/>
      <c r="W103" s="24">
        <f t="shared" si="16"/>
        <v>879992.22831758205</v>
      </c>
    </row>
    <row r="104" spans="1:23" ht="18" customHeight="1" x14ac:dyDescent="0.25">
      <c r="A104" s="21">
        <v>46125</v>
      </c>
      <c r="B104" s="23">
        <v>939514.94705548661</v>
      </c>
      <c r="C104" s="23">
        <v>6094.0137089521713</v>
      </c>
      <c r="D104" s="25">
        <f t="shared" si="10"/>
        <v>154.17014006308011</v>
      </c>
      <c r="E104" s="23">
        <f t="shared" si="17"/>
        <v>1310.2129474247167</v>
      </c>
      <c r="F104" s="32">
        <v>0.215</v>
      </c>
      <c r="G104" s="23">
        <v>538487.75897303352</v>
      </c>
      <c r="H104" s="23">
        <v>6381.3389396085267</v>
      </c>
      <c r="I104" s="25">
        <f t="shared" si="11"/>
        <v>84.384760638661191</v>
      </c>
      <c r="J104" s="23">
        <f t="shared" si="12"/>
        <v>2010.121765976686</v>
      </c>
      <c r="K104" s="32">
        <v>0.315</v>
      </c>
      <c r="L104" s="23">
        <v>514865.5139714792</v>
      </c>
      <c r="M104" s="23">
        <v>2920.9693176254768</v>
      </c>
      <c r="N104" s="25">
        <f t="shared" si="13"/>
        <v>176.26529346430289</v>
      </c>
      <c r="O104" s="23">
        <f t="shared" si="14"/>
        <v>628.00840328947754</v>
      </c>
      <c r="P104" s="32">
        <v>0.215</v>
      </c>
      <c r="Q104" s="23">
        <v>37524.999999999993</v>
      </c>
      <c r="R104" s="23">
        <v>322.09214706910376</v>
      </c>
      <c r="S104" s="25">
        <f t="shared" si="15"/>
        <v>116.50392703287216</v>
      </c>
      <c r="T104" s="24"/>
      <c r="U104" s="32"/>
      <c r="V104" s="22"/>
      <c r="W104" s="24">
        <f t="shared" si="16"/>
        <v>1454380.4610269659</v>
      </c>
    </row>
    <row r="105" spans="1:23" ht="18" customHeight="1" x14ac:dyDescent="0.25">
      <c r="A105" s="21">
        <v>46126</v>
      </c>
      <c r="B105" s="23">
        <v>903837.16425591137</v>
      </c>
      <c r="C105" s="23">
        <v>5862.5954668400636</v>
      </c>
      <c r="D105" s="25">
        <f t="shared" si="10"/>
        <v>154.17014006308014</v>
      </c>
      <c r="E105" s="23">
        <f t="shared" si="17"/>
        <v>1260.4580253706138</v>
      </c>
      <c r="F105" s="32">
        <v>0.215</v>
      </c>
      <c r="G105" s="23">
        <v>518038.85673355125</v>
      </c>
      <c r="H105" s="23">
        <v>6139.0096127879506</v>
      </c>
      <c r="I105" s="25">
        <f t="shared" si="11"/>
        <v>84.384760638661177</v>
      </c>
      <c r="J105" s="23">
        <f t="shared" si="12"/>
        <v>1933.7880280282045</v>
      </c>
      <c r="K105" s="32">
        <v>0.315</v>
      </c>
      <c r="L105" s="23">
        <v>495313.65901053703</v>
      </c>
      <c r="M105" s="23">
        <v>2810.0464321460286</v>
      </c>
      <c r="N105" s="25">
        <f t="shared" si="13"/>
        <v>176.26529346430289</v>
      </c>
      <c r="O105" s="23">
        <f t="shared" si="14"/>
        <v>604.15998291139613</v>
      </c>
      <c r="P105" s="32">
        <v>0.215</v>
      </c>
      <c r="Q105" s="23">
        <v>36100</v>
      </c>
      <c r="R105" s="23">
        <v>309.86079971204924</v>
      </c>
      <c r="S105" s="25">
        <f t="shared" si="15"/>
        <v>116.50392703287216</v>
      </c>
      <c r="T105" s="24"/>
      <c r="U105" s="32"/>
      <c r="V105" s="22"/>
      <c r="W105" s="24">
        <f t="shared" si="16"/>
        <v>1399150.8232664485</v>
      </c>
    </row>
    <row r="106" spans="1:23" ht="18" customHeight="1" x14ac:dyDescent="0.25">
      <c r="A106" s="21">
        <v>46127</v>
      </c>
      <c r="B106" s="23">
        <v>927622.35278896149</v>
      </c>
      <c r="C106" s="23">
        <v>6016.8742949148018</v>
      </c>
      <c r="D106" s="25">
        <f t="shared" si="10"/>
        <v>154.17014006308014</v>
      </c>
      <c r="E106" s="23">
        <f t="shared" si="17"/>
        <v>1293.6279734066823</v>
      </c>
      <c r="F106" s="32">
        <v>0.215</v>
      </c>
      <c r="G106" s="23">
        <v>531671.45822653943</v>
      </c>
      <c r="H106" s="23">
        <v>6300.5624973350004</v>
      </c>
      <c r="I106" s="25">
        <f t="shared" si="11"/>
        <v>84.384760638661191</v>
      </c>
      <c r="J106" s="23">
        <f t="shared" si="12"/>
        <v>1984.6771866605252</v>
      </c>
      <c r="K106" s="32">
        <v>0.315</v>
      </c>
      <c r="L106" s="23">
        <v>508348.22898449842</v>
      </c>
      <c r="M106" s="23">
        <v>2883.9950224656604</v>
      </c>
      <c r="N106" s="25">
        <f t="shared" si="13"/>
        <v>176.26529346430289</v>
      </c>
      <c r="O106" s="23">
        <f t="shared" si="14"/>
        <v>620.05892983011699</v>
      </c>
      <c r="P106" s="32">
        <v>0.215</v>
      </c>
      <c r="Q106" s="23">
        <v>37049.999999999993</v>
      </c>
      <c r="R106" s="23">
        <v>318.01503128341892</v>
      </c>
      <c r="S106" s="25">
        <f t="shared" si="15"/>
        <v>116.50392703287216</v>
      </c>
      <c r="T106" s="24"/>
      <c r="U106" s="32"/>
      <c r="V106" s="22"/>
      <c r="W106" s="24">
        <f t="shared" si="16"/>
        <v>1435970.5817734599</v>
      </c>
    </row>
    <row r="107" spans="1:23" ht="18" customHeight="1" x14ac:dyDescent="0.25">
      <c r="A107" s="21">
        <v>46128</v>
      </c>
      <c r="B107" s="23">
        <v>891944.56998938613</v>
      </c>
      <c r="C107" s="23">
        <v>5785.456052802695</v>
      </c>
      <c r="D107" s="25">
        <f t="shared" si="10"/>
        <v>154.17014006308011</v>
      </c>
      <c r="E107" s="23">
        <f t="shared" si="17"/>
        <v>1243.8730513525793</v>
      </c>
      <c r="F107" s="32">
        <v>0.215</v>
      </c>
      <c r="G107" s="23">
        <v>511222.55598705716</v>
      </c>
      <c r="H107" s="23">
        <v>6058.2331705144252</v>
      </c>
      <c r="I107" s="25">
        <f t="shared" si="11"/>
        <v>84.384760638661177</v>
      </c>
      <c r="J107" s="23">
        <f t="shared" si="12"/>
        <v>1908.3434487120439</v>
      </c>
      <c r="K107" s="32">
        <v>0.315</v>
      </c>
      <c r="L107" s="23">
        <v>488796.37402355624</v>
      </c>
      <c r="M107" s="23">
        <v>2773.0721369862126</v>
      </c>
      <c r="N107" s="25">
        <f t="shared" si="13"/>
        <v>176.26529346430286</v>
      </c>
      <c r="O107" s="23">
        <f t="shared" si="14"/>
        <v>596.21050945203569</v>
      </c>
      <c r="P107" s="32">
        <v>0.215</v>
      </c>
      <c r="Q107" s="23">
        <v>35625</v>
      </c>
      <c r="R107" s="23">
        <v>305.7836839263644</v>
      </c>
      <c r="S107" s="25">
        <f t="shared" si="15"/>
        <v>116.50392703287216</v>
      </c>
      <c r="T107" s="24"/>
      <c r="U107" s="32"/>
      <c r="V107" s="22"/>
      <c r="W107" s="24">
        <f t="shared" si="16"/>
        <v>1380740.9440129423</v>
      </c>
    </row>
    <row r="108" spans="1:23" ht="18" customHeight="1" x14ac:dyDescent="0.25">
      <c r="A108" s="21">
        <v>46129</v>
      </c>
      <c r="B108" s="23">
        <v>820589.00439023518</v>
      </c>
      <c r="C108" s="23">
        <v>5322.6195685784787</v>
      </c>
      <c r="D108" s="25">
        <f t="shared" si="10"/>
        <v>154.17014006308011</v>
      </c>
      <c r="E108" s="23">
        <f t="shared" si="17"/>
        <v>1144.3632072443729</v>
      </c>
      <c r="F108" s="32">
        <v>0.215</v>
      </c>
      <c r="G108" s="23">
        <v>470324.75150809257</v>
      </c>
      <c r="H108" s="23">
        <v>5573.5745168732701</v>
      </c>
      <c r="I108" s="25">
        <f t="shared" si="11"/>
        <v>84.384760638661191</v>
      </c>
      <c r="J108" s="23">
        <f t="shared" si="12"/>
        <v>1755.6759728150801</v>
      </c>
      <c r="K108" s="32">
        <v>0.315</v>
      </c>
      <c r="L108" s="23">
        <v>449692.66410167172</v>
      </c>
      <c r="M108" s="23">
        <v>2551.2263660273152</v>
      </c>
      <c r="N108" s="25">
        <f t="shared" si="13"/>
        <v>176.26529346430289</v>
      </c>
      <c r="O108" s="23">
        <f t="shared" si="14"/>
        <v>548.51366869587275</v>
      </c>
      <c r="P108" s="32">
        <v>0.215</v>
      </c>
      <c r="Q108" s="23">
        <v>32774.999999999993</v>
      </c>
      <c r="R108" s="23">
        <v>281.3209892122552</v>
      </c>
      <c r="S108" s="25">
        <f t="shared" si="15"/>
        <v>116.50392703287216</v>
      </c>
      <c r="T108" s="24"/>
      <c r="U108" s="32"/>
      <c r="V108" s="22"/>
      <c r="W108" s="24">
        <f t="shared" si="16"/>
        <v>1270281.668491907</v>
      </c>
    </row>
    <row r="109" spans="1:23" ht="18" customHeight="1" x14ac:dyDescent="0.25">
      <c r="A109" s="21">
        <v>46130</v>
      </c>
      <c r="B109" s="23">
        <v>642200.09039235802</v>
      </c>
      <c r="C109" s="23">
        <v>4165.5283580179403</v>
      </c>
      <c r="D109" s="25">
        <f t="shared" si="10"/>
        <v>154.17014006308011</v>
      </c>
      <c r="E109" s="23">
        <f t="shared" si="17"/>
        <v>895.58859697385719</v>
      </c>
      <c r="F109" s="32">
        <v>0.215</v>
      </c>
      <c r="G109" s="23">
        <v>368080.24031068117</v>
      </c>
      <c r="H109" s="23">
        <v>4361.9278827703856</v>
      </c>
      <c r="I109" s="25">
        <f t="shared" si="11"/>
        <v>84.384760638661191</v>
      </c>
      <c r="J109" s="23">
        <f t="shared" si="12"/>
        <v>1374.0072830726715</v>
      </c>
      <c r="K109" s="32">
        <v>0.315</v>
      </c>
      <c r="L109" s="23">
        <v>351933.38929696049</v>
      </c>
      <c r="M109" s="23">
        <v>1996.6119386300729</v>
      </c>
      <c r="N109" s="25">
        <f t="shared" si="13"/>
        <v>176.26529346430289</v>
      </c>
      <c r="O109" s="23">
        <f t="shared" si="14"/>
        <v>429.27156680546568</v>
      </c>
      <c r="P109" s="32">
        <v>0.215</v>
      </c>
      <c r="Q109" s="23">
        <v>25650</v>
      </c>
      <c r="R109" s="23">
        <v>220.16425242698236</v>
      </c>
      <c r="S109" s="25">
        <f t="shared" si="15"/>
        <v>116.50392703287216</v>
      </c>
      <c r="T109" s="24"/>
      <c r="U109" s="32"/>
      <c r="V109" s="22"/>
      <c r="W109" s="24">
        <f t="shared" si="16"/>
        <v>994133.47968931845</v>
      </c>
    </row>
    <row r="110" spans="1:23" ht="18" customHeight="1" x14ac:dyDescent="0.25">
      <c r="A110" s="21">
        <v>46131</v>
      </c>
      <c r="B110" s="23">
        <v>568466.00593990216</v>
      </c>
      <c r="C110" s="23">
        <v>3687.263990986251</v>
      </c>
      <c r="D110" s="25">
        <f t="shared" si="10"/>
        <v>154.17014006308014</v>
      </c>
      <c r="E110" s="23">
        <f t="shared" si="17"/>
        <v>792.7617580620439</v>
      </c>
      <c r="F110" s="32">
        <v>0.215</v>
      </c>
      <c r="G110" s="23">
        <v>325819.17568241782</v>
      </c>
      <c r="H110" s="23">
        <v>3861.1139406745269</v>
      </c>
      <c r="I110" s="25">
        <f t="shared" si="11"/>
        <v>84.384760638661191</v>
      </c>
      <c r="J110" s="23">
        <f t="shared" si="12"/>
        <v>1216.2508913124759</v>
      </c>
      <c r="K110" s="32">
        <v>0.315</v>
      </c>
      <c r="L110" s="23">
        <v>311526.22237767989</v>
      </c>
      <c r="M110" s="23">
        <v>1767.3713086392129</v>
      </c>
      <c r="N110" s="25">
        <f t="shared" si="13"/>
        <v>176.26529346430289</v>
      </c>
      <c r="O110" s="23">
        <f t="shared" si="14"/>
        <v>379.98483135743078</v>
      </c>
      <c r="P110" s="32">
        <v>0.215</v>
      </c>
      <c r="Q110" s="23">
        <v>22705</v>
      </c>
      <c r="R110" s="23">
        <v>194.88613455573625</v>
      </c>
      <c r="S110" s="25">
        <f t="shared" si="15"/>
        <v>116.50392703287216</v>
      </c>
      <c r="T110" s="24"/>
      <c r="U110" s="32"/>
      <c r="V110" s="22"/>
      <c r="W110" s="24">
        <f t="shared" si="16"/>
        <v>879992.22831758205</v>
      </c>
    </row>
    <row r="111" spans="1:23" ht="18" customHeight="1" x14ac:dyDescent="0.25">
      <c r="A111" s="21">
        <v>46132</v>
      </c>
      <c r="B111" s="23">
        <v>910972.72081582632</v>
      </c>
      <c r="C111" s="23">
        <v>5908.8791152624844</v>
      </c>
      <c r="D111" s="25">
        <f t="shared" si="10"/>
        <v>154.17014006308014</v>
      </c>
      <c r="E111" s="23">
        <f t="shared" si="17"/>
        <v>1270.4090097814342</v>
      </c>
      <c r="F111" s="32">
        <v>0.215</v>
      </c>
      <c r="G111" s="23">
        <v>522128.63718144764</v>
      </c>
      <c r="H111" s="23">
        <v>6187.4754781520651</v>
      </c>
      <c r="I111" s="25">
        <f t="shared" si="11"/>
        <v>84.384760638661177</v>
      </c>
      <c r="J111" s="23">
        <f t="shared" si="12"/>
        <v>1949.0547756179005</v>
      </c>
      <c r="K111" s="32">
        <v>0.315</v>
      </c>
      <c r="L111" s="23">
        <v>499224.03000272537</v>
      </c>
      <c r="M111" s="23">
        <v>2832.2310092419179</v>
      </c>
      <c r="N111" s="25">
        <f t="shared" si="13"/>
        <v>176.26529346430289</v>
      </c>
      <c r="O111" s="23">
        <f t="shared" si="14"/>
        <v>608.9296669870123</v>
      </c>
      <c r="P111" s="32">
        <v>0.215</v>
      </c>
      <c r="Q111" s="23">
        <v>36384.999999999993</v>
      </c>
      <c r="R111" s="23">
        <v>312.3070691834601</v>
      </c>
      <c r="S111" s="25">
        <f t="shared" si="15"/>
        <v>116.50392703287216</v>
      </c>
      <c r="T111" s="24"/>
      <c r="U111" s="32"/>
      <c r="V111" s="22"/>
      <c r="W111" s="24">
        <f t="shared" si="16"/>
        <v>1410196.7508185518</v>
      </c>
    </row>
    <row r="112" spans="1:23" ht="18" customHeight="1" x14ac:dyDescent="0.25">
      <c r="A112" s="21">
        <v>46133</v>
      </c>
      <c r="B112" s="23">
        <v>551816.37396676687</v>
      </c>
      <c r="C112" s="23">
        <v>3579.2688113339336</v>
      </c>
      <c r="D112" s="25">
        <f t="shared" si="10"/>
        <v>154.17014006308014</v>
      </c>
      <c r="E112" s="23">
        <f t="shared" si="17"/>
        <v>769.5427944367957</v>
      </c>
      <c r="F112" s="32">
        <v>0.215</v>
      </c>
      <c r="G112" s="23">
        <v>316276.35463732603</v>
      </c>
      <c r="H112" s="23">
        <v>3748.0269214915907</v>
      </c>
      <c r="I112" s="25">
        <f t="shared" si="11"/>
        <v>84.384760638661191</v>
      </c>
      <c r="J112" s="23">
        <f t="shared" si="12"/>
        <v>1180.628480269851</v>
      </c>
      <c r="K112" s="32">
        <v>0.315</v>
      </c>
      <c r="L112" s="23">
        <v>302402.02339590678</v>
      </c>
      <c r="M112" s="23">
        <v>1715.6072954154699</v>
      </c>
      <c r="N112" s="25">
        <f t="shared" si="13"/>
        <v>176.26529346430289</v>
      </c>
      <c r="O112" s="23">
        <f t="shared" si="14"/>
        <v>368.85556851432602</v>
      </c>
      <c r="P112" s="32">
        <v>0.215</v>
      </c>
      <c r="Q112" s="23">
        <v>22040</v>
      </c>
      <c r="R112" s="23">
        <v>189.17817245577743</v>
      </c>
      <c r="S112" s="25">
        <f t="shared" si="15"/>
        <v>116.50392703287217</v>
      </c>
      <c r="T112" s="24"/>
      <c r="U112" s="32"/>
      <c r="V112" s="22"/>
      <c r="W112" s="24">
        <f t="shared" si="16"/>
        <v>854218.39736267366</v>
      </c>
    </row>
    <row r="113" spans="1:25" ht="18" customHeight="1" x14ac:dyDescent="0.25">
      <c r="A113" s="21">
        <v>46134</v>
      </c>
      <c r="B113" s="23">
        <v>899080.12654930109</v>
      </c>
      <c r="C113" s="23">
        <v>5831.7397012251149</v>
      </c>
      <c r="D113" s="25">
        <f t="shared" si="10"/>
        <v>154.17014006308014</v>
      </c>
      <c r="E113" s="23">
        <f t="shared" si="17"/>
        <v>1253.8240357633997</v>
      </c>
      <c r="F113" s="32">
        <v>0.215</v>
      </c>
      <c r="G113" s="23">
        <v>515312.33643495355</v>
      </c>
      <c r="H113" s="23">
        <v>6106.6990358785397</v>
      </c>
      <c r="I113" s="25">
        <f t="shared" si="11"/>
        <v>84.384760638661177</v>
      </c>
      <c r="J113" s="23">
        <f t="shared" si="12"/>
        <v>1923.61019630174</v>
      </c>
      <c r="K113" s="32">
        <v>0.315</v>
      </c>
      <c r="L113" s="23">
        <v>492706.74501574464</v>
      </c>
      <c r="M113" s="23">
        <v>2795.2567140821016</v>
      </c>
      <c r="N113" s="25">
        <f t="shared" si="13"/>
        <v>176.26529346430289</v>
      </c>
      <c r="O113" s="23">
        <f t="shared" si="14"/>
        <v>600.98019352765186</v>
      </c>
      <c r="P113" s="32">
        <v>0.215</v>
      </c>
      <c r="Q113" s="23">
        <v>35909.999999999993</v>
      </c>
      <c r="R113" s="23">
        <v>308.22995339777526</v>
      </c>
      <c r="S113" s="25">
        <f t="shared" si="15"/>
        <v>116.50392703287216</v>
      </c>
      <c r="T113" s="24"/>
      <c r="U113" s="32"/>
      <c r="V113" s="22"/>
      <c r="W113" s="24">
        <f t="shared" si="16"/>
        <v>1391786.8715650458</v>
      </c>
    </row>
    <row r="114" spans="1:25" ht="18" customHeight="1" x14ac:dyDescent="0.25">
      <c r="A114" s="21">
        <v>46135</v>
      </c>
      <c r="B114" s="23">
        <v>863402.34374972584</v>
      </c>
      <c r="C114" s="23">
        <v>5600.3214591130081</v>
      </c>
      <c r="D114" s="25">
        <f t="shared" si="10"/>
        <v>154.17014006308014</v>
      </c>
      <c r="E114" s="23">
        <f t="shared" si="17"/>
        <v>1204.0691137092967</v>
      </c>
      <c r="F114" s="32">
        <v>0.215</v>
      </c>
      <c r="G114" s="23">
        <v>494863.43419547135</v>
      </c>
      <c r="H114" s="23">
        <v>5864.3697090579635</v>
      </c>
      <c r="I114" s="25">
        <f t="shared" si="11"/>
        <v>84.384760638661177</v>
      </c>
      <c r="J114" s="23">
        <f t="shared" si="12"/>
        <v>1847.2764583532585</v>
      </c>
      <c r="K114" s="32">
        <v>0.315</v>
      </c>
      <c r="L114" s="23">
        <v>473154.89005480247</v>
      </c>
      <c r="M114" s="23">
        <v>2684.3338286026537</v>
      </c>
      <c r="N114" s="25">
        <f t="shared" si="13"/>
        <v>176.26529346430289</v>
      </c>
      <c r="O114" s="23">
        <f t="shared" si="14"/>
        <v>577.13177314957056</v>
      </c>
      <c r="P114" s="32">
        <v>0.215</v>
      </c>
      <c r="Q114" s="23">
        <v>34485</v>
      </c>
      <c r="R114" s="23">
        <v>295.99860604072074</v>
      </c>
      <c r="S114" s="25">
        <f t="shared" si="15"/>
        <v>116.50392703287216</v>
      </c>
      <c r="T114" s="24"/>
      <c r="U114" s="32"/>
      <c r="V114" s="22"/>
      <c r="W114" s="24">
        <f t="shared" si="16"/>
        <v>1336557.2338045284</v>
      </c>
    </row>
    <row r="115" spans="1:25" ht="18" customHeight="1" x14ac:dyDescent="0.25">
      <c r="A115" s="21">
        <v>46136</v>
      </c>
      <c r="B115" s="23">
        <v>792046.77815057489</v>
      </c>
      <c r="C115" s="23">
        <v>5137.4849748887927</v>
      </c>
      <c r="D115" s="25">
        <f t="shared" si="10"/>
        <v>154.17014006308014</v>
      </c>
      <c r="E115" s="23">
        <f t="shared" si="17"/>
        <v>1104.5592696010904</v>
      </c>
      <c r="F115" s="32">
        <v>0.215</v>
      </c>
      <c r="G115" s="23">
        <v>453965.62971650675</v>
      </c>
      <c r="H115" s="23">
        <v>5379.7110554168084</v>
      </c>
      <c r="I115" s="25">
        <f t="shared" si="11"/>
        <v>84.384760638661191</v>
      </c>
      <c r="J115" s="23">
        <f t="shared" si="12"/>
        <v>1694.6089824562946</v>
      </c>
      <c r="K115" s="32">
        <v>0.315</v>
      </c>
      <c r="L115" s="23">
        <v>434051.18013291794</v>
      </c>
      <c r="M115" s="23">
        <v>2462.4880576437563</v>
      </c>
      <c r="N115" s="25">
        <f t="shared" si="13"/>
        <v>176.26529346430291</v>
      </c>
      <c r="O115" s="23">
        <f t="shared" si="14"/>
        <v>529.43493239340762</v>
      </c>
      <c r="P115" s="32">
        <v>0.215</v>
      </c>
      <c r="Q115" s="23">
        <v>31634.999999999996</v>
      </c>
      <c r="R115" s="23">
        <v>271.53591132661154</v>
      </c>
      <c r="S115" s="25">
        <f t="shared" si="15"/>
        <v>116.50392703287216</v>
      </c>
      <c r="T115" s="24"/>
      <c r="U115" s="32"/>
      <c r="V115" s="22"/>
      <c r="W115" s="24">
        <f t="shared" si="16"/>
        <v>1226097.9582834928</v>
      </c>
    </row>
    <row r="116" spans="1:25" ht="18" customHeight="1" x14ac:dyDescent="0.25">
      <c r="A116" s="21">
        <v>46137</v>
      </c>
      <c r="B116" s="23">
        <v>642200.09039235802</v>
      </c>
      <c r="C116" s="23">
        <v>4165.5283580179403</v>
      </c>
      <c r="D116" s="25">
        <f t="shared" si="10"/>
        <v>154.17014006308011</v>
      </c>
      <c r="E116" s="23">
        <f t="shared" si="17"/>
        <v>895.58859697385719</v>
      </c>
      <c r="F116" s="32">
        <v>0.215</v>
      </c>
      <c r="G116" s="23">
        <v>368080.24031068117</v>
      </c>
      <c r="H116" s="23">
        <v>4361.9278827703856</v>
      </c>
      <c r="I116" s="25">
        <f t="shared" si="11"/>
        <v>84.384760638661191</v>
      </c>
      <c r="J116" s="23">
        <f t="shared" si="12"/>
        <v>1374.0072830726715</v>
      </c>
      <c r="K116" s="32">
        <v>0.315</v>
      </c>
      <c r="L116" s="23">
        <v>351933.38929696049</v>
      </c>
      <c r="M116" s="23">
        <v>1996.6119386300729</v>
      </c>
      <c r="N116" s="25">
        <f t="shared" si="13"/>
        <v>176.26529346430289</v>
      </c>
      <c r="O116" s="23">
        <f t="shared" si="14"/>
        <v>429.27156680546568</v>
      </c>
      <c r="P116" s="32">
        <v>0.215</v>
      </c>
      <c r="Q116" s="23">
        <v>25650</v>
      </c>
      <c r="R116" s="23">
        <v>220.16425242698236</v>
      </c>
      <c r="S116" s="25">
        <f t="shared" si="15"/>
        <v>116.50392703287216</v>
      </c>
      <c r="T116" s="24"/>
      <c r="U116" s="32"/>
      <c r="V116" s="22"/>
      <c r="W116" s="24">
        <f t="shared" si="16"/>
        <v>994133.47968931845</v>
      </c>
    </row>
    <row r="117" spans="1:25" ht="18" customHeight="1" x14ac:dyDescent="0.25">
      <c r="A117" s="21">
        <v>46138</v>
      </c>
      <c r="B117" s="23">
        <v>568466.00593990216</v>
      </c>
      <c r="C117" s="23">
        <v>3687.263990986251</v>
      </c>
      <c r="D117" s="25">
        <f t="shared" si="10"/>
        <v>154.17014006308014</v>
      </c>
      <c r="E117" s="23">
        <f t="shared" si="17"/>
        <v>792.7617580620439</v>
      </c>
      <c r="F117" s="32">
        <v>0.215</v>
      </c>
      <c r="G117" s="23">
        <v>325819.17568241782</v>
      </c>
      <c r="H117" s="23">
        <v>3861.1139406745269</v>
      </c>
      <c r="I117" s="25">
        <f t="shared" si="11"/>
        <v>84.384760638661191</v>
      </c>
      <c r="J117" s="23">
        <f t="shared" si="12"/>
        <v>1216.2508913124759</v>
      </c>
      <c r="K117" s="32">
        <v>0.315</v>
      </c>
      <c r="L117" s="23">
        <v>311526.22237767989</v>
      </c>
      <c r="M117" s="23">
        <v>1767.3713086392129</v>
      </c>
      <c r="N117" s="25">
        <f t="shared" si="13"/>
        <v>176.26529346430289</v>
      </c>
      <c r="O117" s="23">
        <f t="shared" si="14"/>
        <v>379.98483135743078</v>
      </c>
      <c r="P117" s="32">
        <v>0.215</v>
      </c>
      <c r="Q117" s="23">
        <v>22705</v>
      </c>
      <c r="R117" s="23">
        <v>194.88613455573625</v>
      </c>
      <c r="S117" s="25">
        <f t="shared" si="15"/>
        <v>116.50392703287216</v>
      </c>
      <c r="T117" s="24"/>
      <c r="U117" s="32"/>
      <c r="V117" s="22"/>
      <c r="W117" s="24">
        <f t="shared" si="16"/>
        <v>879992.22831758205</v>
      </c>
    </row>
    <row r="118" spans="1:25" ht="18" customHeight="1" x14ac:dyDescent="0.25">
      <c r="A118" s="21">
        <v>46139</v>
      </c>
      <c r="B118" s="23">
        <v>894323.08884269116</v>
      </c>
      <c r="C118" s="23">
        <v>5800.883935610168</v>
      </c>
      <c r="D118" s="25">
        <f t="shared" si="10"/>
        <v>154.17014006308014</v>
      </c>
      <c r="E118" s="23">
        <f t="shared" si="17"/>
        <v>1247.1900461561861</v>
      </c>
      <c r="F118" s="32">
        <v>0.215</v>
      </c>
      <c r="G118" s="23">
        <v>512585.81613635592</v>
      </c>
      <c r="H118" s="23">
        <v>6074.3884589691288</v>
      </c>
      <c r="I118" s="25">
        <f t="shared" si="11"/>
        <v>84.384760638661191</v>
      </c>
      <c r="J118" s="23">
        <f t="shared" si="12"/>
        <v>1913.4323645752756</v>
      </c>
      <c r="K118" s="32">
        <v>0.315</v>
      </c>
      <c r="L118" s="23">
        <v>490099.83102095232</v>
      </c>
      <c r="M118" s="23">
        <v>2780.4669960181755</v>
      </c>
      <c r="N118" s="25">
        <f t="shared" si="13"/>
        <v>176.26529346430286</v>
      </c>
      <c r="O118" s="23">
        <f t="shared" si="14"/>
        <v>597.80040414390771</v>
      </c>
      <c r="P118" s="32">
        <v>0.215</v>
      </c>
      <c r="Q118" s="23">
        <v>35719.999999999993</v>
      </c>
      <c r="R118" s="23">
        <v>306.59910708350134</v>
      </c>
      <c r="S118" s="25">
        <f t="shared" si="15"/>
        <v>116.50392703287214</v>
      </c>
      <c r="T118" s="24"/>
      <c r="U118" s="32"/>
      <c r="V118" s="22"/>
      <c r="W118" s="24">
        <f t="shared" si="16"/>
        <v>1384422.9198636436</v>
      </c>
    </row>
    <row r="119" spans="1:25" ht="18" customHeight="1" x14ac:dyDescent="0.25">
      <c r="A119" s="21">
        <v>46140</v>
      </c>
      <c r="B119" s="23">
        <v>858645.30604311579</v>
      </c>
      <c r="C119" s="23">
        <v>5569.4656934980612</v>
      </c>
      <c r="D119" s="25">
        <f t="shared" si="10"/>
        <v>154.17014006308014</v>
      </c>
      <c r="E119" s="23">
        <f t="shared" si="17"/>
        <v>1197.4351241020831</v>
      </c>
      <c r="F119" s="32">
        <v>0.215</v>
      </c>
      <c r="G119" s="23">
        <v>492136.91389687371</v>
      </c>
      <c r="H119" s="23">
        <v>5832.0591321485535</v>
      </c>
      <c r="I119" s="25">
        <f t="shared" si="11"/>
        <v>84.384760638661177</v>
      </c>
      <c r="J119" s="23">
        <f t="shared" si="12"/>
        <v>1837.0986266267944</v>
      </c>
      <c r="K119" s="32">
        <v>0.315</v>
      </c>
      <c r="L119" s="23">
        <v>470547.97606001014</v>
      </c>
      <c r="M119" s="23">
        <v>2669.5441105387272</v>
      </c>
      <c r="N119" s="25">
        <f t="shared" si="13"/>
        <v>176.26529346430289</v>
      </c>
      <c r="O119" s="23">
        <f t="shared" si="14"/>
        <v>573.9519837658263</v>
      </c>
      <c r="P119" s="32">
        <v>0.215</v>
      </c>
      <c r="Q119" s="23">
        <v>34295</v>
      </c>
      <c r="R119" s="23">
        <v>294.36775972644676</v>
      </c>
      <c r="S119" s="25">
        <f t="shared" si="15"/>
        <v>116.50392703287217</v>
      </c>
      <c r="T119" s="24"/>
      <c r="U119" s="32"/>
      <c r="V119" s="22"/>
      <c r="W119" s="24">
        <f t="shared" si="16"/>
        <v>1329193.2821031259</v>
      </c>
    </row>
    <row r="120" spans="1:25" ht="18" customHeight="1" x14ac:dyDescent="0.25">
      <c r="A120" s="21">
        <v>46141</v>
      </c>
      <c r="B120" s="23">
        <v>882430.49457616592</v>
      </c>
      <c r="C120" s="23">
        <v>5723.7445215727985</v>
      </c>
      <c r="D120" s="25">
        <f t="shared" si="10"/>
        <v>154.17014006308014</v>
      </c>
      <c r="E120" s="23">
        <f t="shared" si="17"/>
        <v>1230.6050721381516</v>
      </c>
      <c r="F120" s="32">
        <v>0.215</v>
      </c>
      <c r="G120" s="23">
        <v>505769.51538986183</v>
      </c>
      <c r="H120" s="23">
        <v>5993.6120166956034</v>
      </c>
      <c r="I120" s="25">
        <f t="shared" si="11"/>
        <v>84.384760638661177</v>
      </c>
      <c r="J120" s="23">
        <f t="shared" si="12"/>
        <v>1887.9877852591151</v>
      </c>
      <c r="K120" s="32">
        <v>0.315</v>
      </c>
      <c r="L120" s="23">
        <v>483582.54603397159</v>
      </c>
      <c r="M120" s="23">
        <v>2743.4927008583591</v>
      </c>
      <c r="N120" s="25">
        <f t="shared" si="13"/>
        <v>176.26529346430289</v>
      </c>
      <c r="O120" s="23">
        <f t="shared" si="14"/>
        <v>589.85093068454717</v>
      </c>
      <c r="P120" s="32">
        <v>0.215</v>
      </c>
      <c r="Q120" s="23">
        <v>35244.999999999993</v>
      </c>
      <c r="R120" s="23">
        <v>302.52199129781644</v>
      </c>
      <c r="S120" s="25">
        <f t="shared" si="15"/>
        <v>116.50392703287216</v>
      </c>
      <c r="T120" s="24"/>
      <c r="U120" s="32"/>
      <c r="V120" s="22"/>
      <c r="W120" s="24">
        <f t="shared" si="16"/>
        <v>1366013.0406101374</v>
      </c>
    </row>
    <row r="121" spans="1:25" ht="18" customHeight="1" x14ac:dyDescent="0.25">
      <c r="A121" s="21">
        <v>46142</v>
      </c>
      <c r="B121" s="23">
        <v>846752.71177659067</v>
      </c>
      <c r="C121" s="23">
        <v>5492.3262794606917</v>
      </c>
      <c r="D121" s="25">
        <f t="shared" si="10"/>
        <v>154.17014006308014</v>
      </c>
      <c r="E121" s="23">
        <f t="shared" si="17"/>
        <v>1180.8501500840487</v>
      </c>
      <c r="F121" s="32">
        <v>0.215</v>
      </c>
      <c r="G121" s="23">
        <v>485320.61315037962</v>
      </c>
      <c r="H121" s="23">
        <v>5751.2826898750272</v>
      </c>
      <c r="I121" s="25">
        <f t="shared" si="11"/>
        <v>84.384760638661191</v>
      </c>
      <c r="J121" s="23">
        <f t="shared" si="12"/>
        <v>1811.6540473106336</v>
      </c>
      <c r="K121" s="32">
        <v>0.315</v>
      </c>
      <c r="L121" s="23">
        <v>464030.69107302942</v>
      </c>
      <c r="M121" s="23">
        <v>2632.5698153789112</v>
      </c>
      <c r="N121" s="25">
        <f t="shared" si="13"/>
        <v>176.26529346430286</v>
      </c>
      <c r="O121" s="23">
        <f t="shared" si="14"/>
        <v>566.00251030646587</v>
      </c>
      <c r="P121" s="32">
        <v>0.215</v>
      </c>
      <c r="Q121" s="23">
        <v>33820</v>
      </c>
      <c r="R121" s="23">
        <v>290.29064394076192</v>
      </c>
      <c r="S121" s="25">
        <f t="shared" si="15"/>
        <v>116.50392703287216</v>
      </c>
      <c r="T121" s="24"/>
      <c r="U121" s="32"/>
      <c r="V121" s="22"/>
      <c r="W121" s="24">
        <f t="shared" si="16"/>
        <v>1310783.4028496202</v>
      </c>
    </row>
    <row r="122" spans="1:25" s="18" customFormat="1" ht="18" customHeight="1" x14ac:dyDescent="0.25">
      <c r="A122" s="21">
        <v>46143</v>
      </c>
      <c r="B122" s="23">
        <v>659355.96774193551</v>
      </c>
      <c r="C122" s="23">
        <v>4200.8187783938074</v>
      </c>
      <c r="D122" s="25">
        <f>B122/C122</f>
        <v>156.95891742181789</v>
      </c>
      <c r="E122" s="23">
        <f t="shared" si="17"/>
        <v>903.17603735466855</v>
      </c>
      <c r="F122" s="32">
        <v>0.215</v>
      </c>
      <c r="G122" s="23">
        <v>318042.29032258067</v>
      </c>
      <c r="H122" s="23">
        <v>3660.5071819817058</v>
      </c>
      <c r="I122" s="25">
        <f t="shared" si="11"/>
        <v>86.884760638661177</v>
      </c>
      <c r="J122" s="23">
        <f t="shared" si="12"/>
        <v>1153.0597623242372</v>
      </c>
      <c r="K122" s="32">
        <v>0.315</v>
      </c>
      <c r="L122" s="23">
        <v>315456.58064516127</v>
      </c>
      <c r="M122" s="23">
        <v>1809.848425961912</v>
      </c>
      <c r="N122" s="25">
        <f>L122/M122</f>
        <v>174.3</v>
      </c>
      <c r="O122" s="23">
        <f t="shared" si="14"/>
        <v>389.11741158181104</v>
      </c>
      <c r="P122" s="32">
        <v>0.215</v>
      </c>
      <c r="Q122" s="23">
        <v>24681.774193548386</v>
      </c>
      <c r="R122" s="23">
        <v>214.62878845804326</v>
      </c>
      <c r="S122" s="25">
        <f t="shared" si="15"/>
        <v>114.99750043258203</v>
      </c>
      <c r="T122" s="24"/>
      <c r="U122" s="32"/>
      <c r="V122" s="22"/>
      <c r="W122" s="24">
        <f t="shared" si="16"/>
        <v>974812.54838709673</v>
      </c>
      <c r="X122"/>
      <c r="Y122"/>
    </row>
    <row r="123" spans="1:25" ht="18" customHeight="1" x14ac:dyDescent="0.25">
      <c r="A123" s="21">
        <v>46144</v>
      </c>
      <c r="B123" s="23">
        <v>757530.96774193551</v>
      </c>
      <c r="C123" s="23">
        <v>4826.3009211901954</v>
      </c>
      <c r="D123" s="25">
        <f t="shared" ref="D123:D152" si="18">B123/C123</f>
        <v>156.95891742181789</v>
      </c>
      <c r="E123" s="23">
        <f t="shared" si="17"/>
        <v>1037.6546980558919</v>
      </c>
      <c r="F123" s="32">
        <v>0.215</v>
      </c>
      <c r="G123" s="23">
        <v>365397.29032258067</v>
      </c>
      <c r="H123" s="23">
        <v>4205.5394713257638</v>
      </c>
      <c r="I123" s="25">
        <f t="shared" si="11"/>
        <v>86.884760638661177</v>
      </c>
      <c r="J123" s="23">
        <f t="shared" si="12"/>
        <v>1324.7449334676155</v>
      </c>
      <c r="K123" s="32">
        <v>0.315</v>
      </c>
      <c r="L123" s="23">
        <v>362426.58064516127</v>
      </c>
      <c r="M123" s="23">
        <v>2079.3263376084983</v>
      </c>
      <c r="N123" s="25">
        <f t="shared" ref="N123:N152" si="19">L123/M123</f>
        <v>174.3</v>
      </c>
      <c r="O123" s="23">
        <f t="shared" si="14"/>
        <v>447.05516258582713</v>
      </c>
      <c r="P123" s="32">
        <v>0.215</v>
      </c>
      <c r="Q123" s="23">
        <v>28356.774193548386</v>
      </c>
      <c r="R123" s="23">
        <v>246.58600479905834</v>
      </c>
      <c r="S123" s="25">
        <f t="shared" si="15"/>
        <v>114.99750043258203</v>
      </c>
      <c r="T123" s="24"/>
      <c r="U123" s="32"/>
      <c r="V123" s="22"/>
      <c r="W123" s="24">
        <f t="shared" si="16"/>
        <v>1119957.5483870967</v>
      </c>
    </row>
    <row r="124" spans="1:25" ht="18" customHeight="1" x14ac:dyDescent="0.25">
      <c r="A124" s="21">
        <v>46145</v>
      </c>
      <c r="B124" s="23">
        <v>687405.96774193551</v>
      </c>
      <c r="C124" s="23">
        <v>4379.5279620499186</v>
      </c>
      <c r="D124" s="25">
        <f t="shared" si="18"/>
        <v>156.95891742181789</v>
      </c>
      <c r="E124" s="23">
        <f t="shared" si="17"/>
        <v>941.5985118407325</v>
      </c>
      <c r="F124" s="32">
        <v>0.215</v>
      </c>
      <c r="G124" s="23">
        <v>331572.29032258067</v>
      </c>
      <c r="H124" s="23">
        <v>3816.2306932228653</v>
      </c>
      <c r="I124" s="25">
        <f t="shared" si="11"/>
        <v>86.884760638661177</v>
      </c>
      <c r="J124" s="23">
        <f t="shared" si="12"/>
        <v>1202.1126683652026</v>
      </c>
      <c r="K124" s="32">
        <v>0.315</v>
      </c>
      <c r="L124" s="23">
        <v>328876.58064516127</v>
      </c>
      <c r="M124" s="23">
        <v>1886.8421150037939</v>
      </c>
      <c r="N124" s="25">
        <f t="shared" si="19"/>
        <v>174.3</v>
      </c>
      <c r="O124" s="23">
        <f t="shared" si="14"/>
        <v>405.67105472581568</v>
      </c>
      <c r="P124" s="32">
        <v>0.215</v>
      </c>
      <c r="Q124" s="23">
        <v>25731.774193548386</v>
      </c>
      <c r="R124" s="23">
        <v>223.75942169833328</v>
      </c>
      <c r="S124" s="25">
        <f t="shared" si="15"/>
        <v>114.99750043258203</v>
      </c>
      <c r="T124" s="24"/>
      <c r="U124" s="32"/>
      <c r="V124" s="22"/>
      <c r="W124" s="24">
        <f t="shared" si="16"/>
        <v>1016282.5483870967</v>
      </c>
    </row>
    <row r="125" spans="1:25" ht="18" customHeight="1" x14ac:dyDescent="0.25">
      <c r="A125" s="21">
        <v>46146</v>
      </c>
      <c r="B125" s="23">
        <v>998760.96774193551</v>
      </c>
      <c r="C125" s="23">
        <v>6363.1999006327496</v>
      </c>
      <c r="D125" s="25">
        <f t="shared" si="18"/>
        <v>156.95891742181789</v>
      </c>
      <c r="E125" s="23">
        <f t="shared" si="17"/>
        <v>1368.087978636041</v>
      </c>
      <c r="F125" s="32">
        <v>0.215</v>
      </c>
      <c r="G125" s="23">
        <v>481755.29032258067</v>
      </c>
      <c r="H125" s="23">
        <v>5544.7616679997345</v>
      </c>
      <c r="I125" s="25">
        <f t="shared" si="11"/>
        <v>86.884760638661177</v>
      </c>
      <c r="J125" s="23">
        <f t="shared" si="12"/>
        <v>1746.5999254199164</v>
      </c>
      <c r="K125" s="32">
        <v>0.315</v>
      </c>
      <c r="L125" s="23">
        <v>477838.58064516127</v>
      </c>
      <c r="M125" s="23">
        <v>2741.472063368682</v>
      </c>
      <c r="N125" s="25">
        <f t="shared" si="19"/>
        <v>174.3</v>
      </c>
      <c r="O125" s="23">
        <f t="shared" si="14"/>
        <v>589.41649362426665</v>
      </c>
      <c r="P125" s="32">
        <v>0.215</v>
      </c>
      <c r="Q125" s="23">
        <v>37386.774193548386</v>
      </c>
      <c r="R125" s="23">
        <v>325.10945066555252</v>
      </c>
      <c r="S125" s="25">
        <f t="shared" si="15"/>
        <v>114.99750043258204</v>
      </c>
      <c r="T125" s="24"/>
      <c r="U125" s="32"/>
      <c r="V125" s="22"/>
      <c r="W125" s="24">
        <f t="shared" si="16"/>
        <v>1476599.5483870967</v>
      </c>
    </row>
    <row r="126" spans="1:25" ht="18" customHeight="1" x14ac:dyDescent="0.25">
      <c r="A126" s="21">
        <v>46147</v>
      </c>
      <c r="B126" s="23">
        <v>1024005.9677419354</v>
      </c>
      <c r="C126" s="23">
        <v>6524.0381659232489</v>
      </c>
      <c r="D126" s="25">
        <f t="shared" si="18"/>
        <v>156.95891742181789</v>
      </c>
      <c r="E126" s="23">
        <f t="shared" si="17"/>
        <v>1402.6682056734985</v>
      </c>
      <c r="F126" s="32">
        <v>0.215</v>
      </c>
      <c r="G126" s="23">
        <v>493932.29032258061</v>
      </c>
      <c r="H126" s="23">
        <v>5684.9128281167777</v>
      </c>
      <c r="I126" s="25">
        <f t="shared" si="11"/>
        <v>86.884760638661177</v>
      </c>
      <c r="J126" s="23">
        <f t="shared" si="12"/>
        <v>1790.747540856785</v>
      </c>
      <c r="K126" s="32">
        <v>0.315</v>
      </c>
      <c r="L126" s="23">
        <v>489916.58064516127</v>
      </c>
      <c r="M126" s="23">
        <v>2810.7663835063754</v>
      </c>
      <c r="N126" s="25">
        <f t="shared" si="19"/>
        <v>174.3</v>
      </c>
      <c r="O126" s="23">
        <f t="shared" si="14"/>
        <v>604.31477245387066</v>
      </c>
      <c r="P126" s="32">
        <v>0.215</v>
      </c>
      <c r="Q126" s="23">
        <v>38331.774193548386</v>
      </c>
      <c r="R126" s="23">
        <v>333.32702058181354</v>
      </c>
      <c r="S126" s="25">
        <f t="shared" si="15"/>
        <v>114.99750043258204</v>
      </c>
      <c r="T126" s="24"/>
      <c r="U126" s="32"/>
      <c r="V126" s="22"/>
      <c r="W126" s="24">
        <f t="shared" si="16"/>
        <v>1513922.5483870967</v>
      </c>
    </row>
    <row r="127" spans="1:25" ht="18" customHeight="1" x14ac:dyDescent="0.25">
      <c r="A127" s="21">
        <v>46148</v>
      </c>
      <c r="B127" s="23">
        <v>1046445.9677419355</v>
      </c>
      <c r="C127" s="23">
        <v>6667.0055128481381</v>
      </c>
      <c r="D127" s="25">
        <f t="shared" si="18"/>
        <v>156.95891742181789</v>
      </c>
      <c r="E127" s="23">
        <f t="shared" si="17"/>
        <v>1433.4061852623497</v>
      </c>
      <c r="F127" s="32">
        <v>0.215</v>
      </c>
      <c r="G127" s="23">
        <v>504756.29032258067</v>
      </c>
      <c r="H127" s="23">
        <v>5809.4916371097061</v>
      </c>
      <c r="I127" s="25">
        <f t="shared" si="11"/>
        <v>86.884760638661177</v>
      </c>
      <c r="J127" s="23">
        <f t="shared" si="12"/>
        <v>1829.9898656895575</v>
      </c>
      <c r="K127" s="32">
        <v>0.315</v>
      </c>
      <c r="L127" s="23">
        <v>500652.58064516127</v>
      </c>
      <c r="M127" s="23">
        <v>2872.3613347398809</v>
      </c>
      <c r="N127" s="25">
        <f t="shared" si="19"/>
        <v>174.3</v>
      </c>
      <c r="O127" s="23">
        <f t="shared" si="14"/>
        <v>617.55768696907444</v>
      </c>
      <c r="P127" s="32">
        <v>0.215</v>
      </c>
      <c r="Q127" s="23">
        <v>39171.774193548386</v>
      </c>
      <c r="R127" s="23">
        <v>340.63152717404557</v>
      </c>
      <c r="S127" s="25">
        <f t="shared" si="15"/>
        <v>114.99750043258204</v>
      </c>
      <c r="T127" s="24"/>
      <c r="U127" s="32"/>
      <c r="V127" s="22"/>
      <c r="W127" s="24">
        <f t="shared" si="16"/>
        <v>1547098.5483870967</v>
      </c>
    </row>
    <row r="128" spans="1:25" ht="18" customHeight="1" x14ac:dyDescent="0.25">
      <c r="A128" s="21">
        <v>46149</v>
      </c>
      <c r="B128" s="23">
        <v>1094130.9677419355</v>
      </c>
      <c r="C128" s="23">
        <v>6970.8111250635266</v>
      </c>
      <c r="D128" s="25">
        <f t="shared" si="18"/>
        <v>156.95891742181789</v>
      </c>
      <c r="E128" s="23">
        <f t="shared" si="17"/>
        <v>1498.7243918886581</v>
      </c>
      <c r="F128" s="32">
        <v>0.215</v>
      </c>
      <c r="G128" s="23">
        <v>527757.29032258061</v>
      </c>
      <c r="H128" s="23">
        <v>6074.2216062196767</v>
      </c>
      <c r="I128" s="25">
        <f t="shared" si="11"/>
        <v>86.884760638661177</v>
      </c>
      <c r="J128" s="23">
        <f t="shared" si="12"/>
        <v>1913.3798059591982</v>
      </c>
      <c r="K128" s="32">
        <v>0.315</v>
      </c>
      <c r="L128" s="23">
        <v>523466.58064516127</v>
      </c>
      <c r="M128" s="23">
        <v>3003.2506061110798</v>
      </c>
      <c r="N128" s="25">
        <f t="shared" si="19"/>
        <v>174.3</v>
      </c>
      <c r="O128" s="23">
        <f t="shared" si="14"/>
        <v>645.69888031388211</v>
      </c>
      <c r="P128" s="32">
        <v>0.215</v>
      </c>
      <c r="Q128" s="23">
        <v>40956.774193548386</v>
      </c>
      <c r="R128" s="23">
        <v>356.15360368253863</v>
      </c>
      <c r="S128" s="25">
        <f t="shared" si="15"/>
        <v>114.99750043258203</v>
      </c>
      <c r="T128" s="24"/>
      <c r="U128" s="32"/>
      <c r="V128" s="22"/>
      <c r="W128" s="24">
        <f t="shared" si="16"/>
        <v>1617597.5483870967</v>
      </c>
    </row>
    <row r="129" spans="1:23" ht="18" customHeight="1" x14ac:dyDescent="0.25">
      <c r="A129" s="21">
        <v>46150</v>
      </c>
      <c r="B129" s="23">
        <v>1009980.9677419354</v>
      </c>
      <c r="C129" s="23">
        <v>6434.6835740951938</v>
      </c>
      <c r="D129" s="25">
        <f t="shared" si="18"/>
        <v>156.95891742181786</v>
      </c>
      <c r="E129" s="23">
        <f t="shared" si="17"/>
        <v>1383.4569684304665</v>
      </c>
      <c r="F129" s="32">
        <v>0.215</v>
      </c>
      <c r="G129" s="23">
        <v>487167.29032258061</v>
      </c>
      <c r="H129" s="23">
        <v>5607.0510724961978</v>
      </c>
      <c r="I129" s="25">
        <f t="shared" si="11"/>
        <v>86.884760638661177</v>
      </c>
      <c r="J129" s="23">
        <f t="shared" si="12"/>
        <v>1766.2210878363023</v>
      </c>
      <c r="K129" s="32">
        <v>0.315</v>
      </c>
      <c r="L129" s="23">
        <v>483206.58064516127</v>
      </c>
      <c r="M129" s="23">
        <v>2772.2695389854343</v>
      </c>
      <c r="N129" s="25">
        <f t="shared" si="19"/>
        <v>174.3</v>
      </c>
      <c r="O129" s="23">
        <f t="shared" si="14"/>
        <v>596.03795088186837</v>
      </c>
      <c r="P129" s="32">
        <v>0.215</v>
      </c>
      <c r="Q129" s="23">
        <v>37806.774193548386</v>
      </c>
      <c r="R129" s="23">
        <v>328.7617039616685</v>
      </c>
      <c r="S129" s="25">
        <f t="shared" si="15"/>
        <v>114.99750043258206</v>
      </c>
      <c r="T129" s="24"/>
      <c r="U129" s="32"/>
      <c r="V129" s="22"/>
      <c r="W129" s="24">
        <f t="shared" si="16"/>
        <v>1493187.5483870967</v>
      </c>
    </row>
    <row r="130" spans="1:23" ht="18" customHeight="1" x14ac:dyDescent="0.25">
      <c r="A130" s="21">
        <v>46151</v>
      </c>
      <c r="B130" s="23">
        <v>757530.96774193551</v>
      </c>
      <c r="C130" s="23">
        <v>4826.3009211901954</v>
      </c>
      <c r="D130" s="25">
        <f t="shared" si="18"/>
        <v>156.95891742181789</v>
      </c>
      <c r="E130" s="23">
        <f t="shared" ref="E130:E152" si="20">F130*C130</f>
        <v>1037.6546980558919</v>
      </c>
      <c r="F130" s="32">
        <v>0.215</v>
      </c>
      <c r="G130" s="23">
        <v>365397.29032258067</v>
      </c>
      <c r="H130" s="23">
        <v>4205.5394713257638</v>
      </c>
      <c r="I130" s="25">
        <f t="shared" si="11"/>
        <v>86.884760638661177</v>
      </c>
      <c r="J130" s="23">
        <f t="shared" si="12"/>
        <v>1324.7449334676155</v>
      </c>
      <c r="K130" s="32">
        <v>0.315</v>
      </c>
      <c r="L130" s="23">
        <v>362426.58064516127</v>
      </c>
      <c r="M130" s="23">
        <v>2079.3263376084983</v>
      </c>
      <c r="N130" s="25">
        <f t="shared" si="19"/>
        <v>174.3</v>
      </c>
      <c r="O130" s="23">
        <f t="shared" si="14"/>
        <v>447.05516258582713</v>
      </c>
      <c r="P130" s="32">
        <v>0.215</v>
      </c>
      <c r="Q130" s="23">
        <v>28356.774193548386</v>
      </c>
      <c r="R130" s="23">
        <v>246.58600479905834</v>
      </c>
      <c r="S130" s="25">
        <f t="shared" si="15"/>
        <v>114.99750043258203</v>
      </c>
      <c r="T130" s="24"/>
      <c r="U130" s="32"/>
      <c r="V130" s="22"/>
      <c r="W130" s="24">
        <f t="shared" si="16"/>
        <v>1119957.5483870967</v>
      </c>
    </row>
    <row r="131" spans="1:23" ht="18" customHeight="1" x14ac:dyDescent="0.25">
      <c r="A131" s="21">
        <v>46152</v>
      </c>
      <c r="B131" s="23">
        <v>673380.96774193551</v>
      </c>
      <c r="C131" s="23">
        <v>4290.1733702218626</v>
      </c>
      <c r="D131" s="25">
        <f t="shared" si="18"/>
        <v>156.95891742181789</v>
      </c>
      <c r="E131" s="23">
        <f t="shared" si="20"/>
        <v>922.38727459770041</v>
      </c>
      <c r="F131" s="32">
        <v>0.215</v>
      </c>
      <c r="G131" s="23">
        <v>324807.29032258067</v>
      </c>
      <c r="H131" s="23">
        <v>3738.3689376022853</v>
      </c>
      <c r="I131" s="25">
        <f t="shared" ref="I131:I152" si="21">IFERROR(G131/H131,0)</f>
        <v>86.884760638661177</v>
      </c>
      <c r="J131" s="23">
        <f t="shared" ref="J131:J152" si="22">K131*H131</f>
        <v>1177.5862153447199</v>
      </c>
      <c r="K131" s="32">
        <v>0.315</v>
      </c>
      <c r="L131" s="23">
        <v>322166.58064516127</v>
      </c>
      <c r="M131" s="23">
        <v>1848.345270482853</v>
      </c>
      <c r="N131" s="25">
        <f t="shared" si="19"/>
        <v>174.29999999999998</v>
      </c>
      <c r="O131" s="23">
        <f t="shared" ref="O131:O152" si="23">P131*M131</f>
        <v>397.39423315381339</v>
      </c>
      <c r="P131" s="32">
        <v>0.215</v>
      </c>
      <c r="Q131" s="23">
        <v>25206.774193548386</v>
      </c>
      <c r="R131" s="23">
        <v>219.19410507818827</v>
      </c>
      <c r="S131" s="25">
        <f t="shared" ref="S131:S194" si="24">Q131/R131</f>
        <v>114.99750043258203</v>
      </c>
      <c r="T131" s="24"/>
      <c r="U131" s="32"/>
      <c r="V131" s="22"/>
      <c r="W131" s="24">
        <f t="shared" ref="W131:W194" si="25">SUM(B131,L131)</f>
        <v>995547.54838709673</v>
      </c>
    </row>
    <row r="132" spans="1:23" ht="18" customHeight="1" x14ac:dyDescent="0.25">
      <c r="A132" s="21">
        <v>46153</v>
      </c>
      <c r="B132" s="23">
        <v>995955.9677419354</v>
      </c>
      <c r="C132" s="23">
        <v>6345.3289822671377</v>
      </c>
      <c r="D132" s="25">
        <f t="shared" si="18"/>
        <v>156.95891742181789</v>
      </c>
      <c r="E132" s="23">
        <f t="shared" si="20"/>
        <v>1364.2457311874346</v>
      </c>
      <c r="F132" s="32">
        <v>0.215</v>
      </c>
      <c r="G132" s="23">
        <v>480402.29032258061</v>
      </c>
      <c r="H132" s="23">
        <v>5529.1893168756187</v>
      </c>
      <c r="I132" s="25">
        <f t="shared" si="21"/>
        <v>86.884760638661177</v>
      </c>
      <c r="J132" s="23">
        <f t="shared" si="22"/>
        <v>1741.6946348158199</v>
      </c>
      <c r="K132" s="32">
        <v>0.315</v>
      </c>
      <c r="L132" s="23">
        <v>476496.58064516127</v>
      </c>
      <c r="M132" s="23">
        <v>2733.7726944644933</v>
      </c>
      <c r="N132" s="25">
        <f t="shared" si="19"/>
        <v>174.30000000000004</v>
      </c>
      <c r="O132" s="23">
        <f t="shared" si="23"/>
        <v>587.76112930986608</v>
      </c>
      <c r="P132" s="32">
        <v>0.215</v>
      </c>
      <c r="Q132" s="23">
        <v>37281.774193548386</v>
      </c>
      <c r="R132" s="23">
        <v>324.19638734152352</v>
      </c>
      <c r="S132" s="25">
        <f t="shared" si="24"/>
        <v>114.99750043258204</v>
      </c>
      <c r="T132" s="24"/>
      <c r="U132" s="32"/>
      <c r="V132" s="22"/>
      <c r="W132" s="24">
        <f t="shared" si="25"/>
        <v>1472452.5483870967</v>
      </c>
    </row>
    <row r="133" spans="1:23" ht="18" customHeight="1" x14ac:dyDescent="0.25">
      <c r="A133" s="21">
        <v>46154</v>
      </c>
      <c r="B133" s="23">
        <v>1038030.9677419354</v>
      </c>
      <c r="C133" s="23">
        <v>6613.3927577513041</v>
      </c>
      <c r="D133" s="25">
        <f t="shared" si="18"/>
        <v>156.95891742181789</v>
      </c>
      <c r="E133" s="23">
        <f t="shared" si="20"/>
        <v>1421.8794429165303</v>
      </c>
      <c r="F133" s="32">
        <v>0.215</v>
      </c>
      <c r="G133" s="23">
        <v>500697.29032258061</v>
      </c>
      <c r="H133" s="23">
        <v>5762.7745837373577</v>
      </c>
      <c r="I133" s="25">
        <f t="shared" si="21"/>
        <v>86.884760638661177</v>
      </c>
      <c r="J133" s="23">
        <f t="shared" si="22"/>
        <v>1815.2739938772677</v>
      </c>
      <c r="K133" s="32">
        <v>0.315</v>
      </c>
      <c r="L133" s="23">
        <v>496626.58064516127</v>
      </c>
      <c r="M133" s="23">
        <v>2849.2632280273165</v>
      </c>
      <c r="N133" s="25">
        <f t="shared" si="19"/>
        <v>174.3</v>
      </c>
      <c r="O133" s="23">
        <f t="shared" si="23"/>
        <v>612.59159402587306</v>
      </c>
      <c r="P133" s="32">
        <v>0.215</v>
      </c>
      <c r="Q133" s="23">
        <v>38856.774193548386</v>
      </c>
      <c r="R133" s="23">
        <v>337.89233720195858</v>
      </c>
      <c r="S133" s="25">
        <f t="shared" si="24"/>
        <v>114.99750043258203</v>
      </c>
      <c r="T133" s="24"/>
      <c r="U133" s="32"/>
      <c r="V133" s="22"/>
      <c r="W133" s="24">
        <f t="shared" si="25"/>
        <v>1534657.5483870967</v>
      </c>
    </row>
    <row r="134" spans="1:23" ht="18" customHeight="1" x14ac:dyDescent="0.25">
      <c r="A134" s="21">
        <v>46155</v>
      </c>
      <c r="B134" s="23">
        <v>1052055.9677419355</v>
      </c>
      <c r="C134" s="23">
        <v>6702.7473495793602</v>
      </c>
      <c r="D134" s="25">
        <f t="shared" si="18"/>
        <v>156.95891742181789</v>
      </c>
      <c r="E134" s="23">
        <f t="shared" si="20"/>
        <v>1441.0906801595625</v>
      </c>
      <c r="F134" s="32">
        <v>0.215</v>
      </c>
      <c r="G134" s="23">
        <v>507462.29032258061</v>
      </c>
      <c r="H134" s="23">
        <v>5840.6363393579377</v>
      </c>
      <c r="I134" s="25">
        <f t="shared" si="21"/>
        <v>86.884760638661163</v>
      </c>
      <c r="J134" s="23">
        <f t="shared" si="22"/>
        <v>1839.8004468977504</v>
      </c>
      <c r="K134" s="32">
        <v>0.315</v>
      </c>
      <c r="L134" s="23">
        <v>503336.58064516127</v>
      </c>
      <c r="M134" s="23">
        <v>2887.7600725482571</v>
      </c>
      <c r="N134" s="25">
        <f t="shared" si="19"/>
        <v>174.3</v>
      </c>
      <c r="O134" s="23">
        <f t="shared" si="23"/>
        <v>620.86841559787524</v>
      </c>
      <c r="P134" s="32">
        <v>0.215</v>
      </c>
      <c r="Q134" s="23">
        <v>39381.774193548386</v>
      </c>
      <c r="R134" s="23">
        <v>342.45765382210357</v>
      </c>
      <c r="S134" s="25">
        <f t="shared" si="24"/>
        <v>114.99750043258204</v>
      </c>
      <c r="T134" s="24"/>
      <c r="U134" s="32"/>
      <c r="V134" s="22"/>
      <c r="W134" s="24">
        <f t="shared" si="25"/>
        <v>1555392.5483870967</v>
      </c>
    </row>
    <row r="135" spans="1:23" ht="18" customHeight="1" x14ac:dyDescent="0.25">
      <c r="A135" s="21">
        <v>46156</v>
      </c>
      <c r="B135" s="23">
        <v>1024005.9677419354</v>
      </c>
      <c r="C135" s="23">
        <v>6524.0381659232489</v>
      </c>
      <c r="D135" s="25">
        <f t="shared" si="18"/>
        <v>156.95891742181789</v>
      </c>
      <c r="E135" s="23">
        <f t="shared" si="20"/>
        <v>1402.6682056734985</v>
      </c>
      <c r="F135" s="32">
        <v>0.215</v>
      </c>
      <c r="G135" s="23">
        <v>493932.29032258061</v>
      </c>
      <c r="H135" s="23">
        <v>5684.9128281167777</v>
      </c>
      <c r="I135" s="25">
        <f t="shared" si="21"/>
        <v>86.884760638661177</v>
      </c>
      <c r="J135" s="23">
        <f t="shared" si="22"/>
        <v>1790.747540856785</v>
      </c>
      <c r="K135" s="32">
        <v>0.315</v>
      </c>
      <c r="L135" s="23">
        <v>489916.58064516127</v>
      </c>
      <c r="M135" s="23">
        <v>2810.7663835063754</v>
      </c>
      <c r="N135" s="25">
        <f t="shared" si="19"/>
        <v>174.3</v>
      </c>
      <c r="O135" s="23">
        <f t="shared" si="23"/>
        <v>604.31477245387066</v>
      </c>
      <c r="P135" s="32">
        <v>0.215</v>
      </c>
      <c r="Q135" s="23">
        <v>38331.774193548386</v>
      </c>
      <c r="R135" s="23">
        <v>333.32702058181354</v>
      </c>
      <c r="S135" s="25">
        <f t="shared" si="24"/>
        <v>114.99750043258204</v>
      </c>
      <c r="T135" s="24"/>
      <c r="U135" s="32"/>
      <c r="V135" s="22"/>
      <c r="W135" s="24">
        <f t="shared" si="25"/>
        <v>1513922.5483870967</v>
      </c>
    </row>
    <row r="136" spans="1:23" ht="18" customHeight="1" x14ac:dyDescent="0.25">
      <c r="A136" s="21">
        <v>46157</v>
      </c>
      <c r="B136" s="23">
        <v>973515.96774193551</v>
      </c>
      <c r="C136" s="23">
        <v>6202.3616353422503</v>
      </c>
      <c r="D136" s="25">
        <f t="shared" si="18"/>
        <v>156.95891742181786</v>
      </c>
      <c r="E136" s="23">
        <f t="shared" si="20"/>
        <v>1333.5077515985838</v>
      </c>
      <c r="F136" s="32">
        <v>0.215</v>
      </c>
      <c r="G136" s="23">
        <v>469578.29032258067</v>
      </c>
      <c r="H136" s="23">
        <v>5404.6105078826913</v>
      </c>
      <c r="I136" s="25">
        <f t="shared" si="21"/>
        <v>86.884760638661177</v>
      </c>
      <c r="J136" s="23">
        <f t="shared" si="22"/>
        <v>1702.4523099830478</v>
      </c>
      <c r="K136" s="32">
        <v>0.315</v>
      </c>
      <c r="L136" s="23">
        <v>465760.58064516133</v>
      </c>
      <c r="M136" s="23">
        <v>2672.1777432309882</v>
      </c>
      <c r="N136" s="25">
        <f t="shared" si="19"/>
        <v>174.30000000000004</v>
      </c>
      <c r="O136" s="23">
        <f t="shared" si="23"/>
        <v>574.51821479466241</v>
      </c>
      <c r="P136" s="32">
        <v>0.215</v>
      </c>
      <c r="Q136" s="23">
        <v>36441.774193548386</v>
      </c>
      <c r="R136" s="23">
        <v>316.89188074929154</v>
      </c>
      <c r="S136" s="25">
        <f t="shared" si="24"/>
        <v>114.99750043258203</v>
      </c>
      <c r="T136" s="24"/>
      <c r="U136" s="32"/>
      <c r="V136" s="22"/>
      <c r="W136" s="24">
        <f t="shared" si="25"/>
        <v>1439276.5483870967</v>
      </c>
    </row>
    <row r="137" spans="1:23" ht="18" customHeight="1" x14ac:dyDescent="0.25">
      <c r="A137" s="21">
        <v>46158</v>
      </c>
      <c r="B137" s="23">
        <v>757530.96774193551</v>
      </c>
      <c r="C137" s="23">
        <v>4826.3009211901954</v>
      </c>
      <c r="D137" s="25">
        <f t="shared" si="18"/>
        <v>156.95891742181789</v>
      </c>
      <c r="E137" s="23">
        <f t="shared" si="20"/>
        <v>1037.6546980558919</v>
      </c>
      <c r="F137" s="32">
        <v>0.215</v>
      </c>
      <c r="G137" s="23">
        <v>365397.29032258067</v>
      </c>
      <c r="H137" s="23">
        <v>4205.5394713257638</v>
      </c>
      <c r="I137" s="25">
        <f t="shared" si="21"/>
        <v>86.884760638661177</v>
      </c>
      <c r="J137" s="23">
        <f t="shared" si="22"/>
        <v>1324.7449334676155</v>
      </c>
      <c r="K137" s="32">
        <v>0.315</v>
      </c>
      <c r="L137" s="23">
        <v>362426.58064516127</v>
      </c>
      <c r="M137" s="23">
        <v>2079.3263376084983</v>
      </c>
      <c r="N137" s="25">
        <f t="shared" si="19"/>
        <v>174.3</v>
      </c>
      <c r="O137" s="23">
        <f t="shared" si="23"/>
        <v>447.05516258582713</v>
      </c>
      <c r="P137" s="32">
        <v>0.215</v>
      </c>
      <c r="Q137" s="23">
        <v>28356.774193548386</v>
      </c>
      <c r="R137" s="23">
        <v>246.58600479905834</v>
      </c>
      <c r="S137" s="25">
        <f t="shared" si="24"/>
        <v>114.99750043258203</v>
      </c>
      <c r="T137" s="24"/>
      <c r="U137" s="32"/>
      <c r="V137" s="22"/>
      <c r="W137" s="24">
        <f t="shared" si="25"/>
        <v>1119957.5483870967</v>
      </c>
    </row>
    <row r="138" spans="1:23" ht="18" customHeight="1" x14ac:dyDescent="0.25">
      <c r="A138" s="21">
        <v>46159</v>
      </c>
      <c r="B138" s="23">
        <v>673380.96774193551</v>
      </c>
      <c r="C138" s="23">
        <v>4290.1733702218626</v>
      </c>
      <c r="D138" s="25">
        <f t="shared" si="18"/>
        <v>156.95891742181789</v>
      </c>
      <c r="E138" s="23">
        <f t="shared" si="20"/>
        <v>922.38727459770041</v>
      </c>
      <c r="F138" s="32">
        <v>0.215</v>
      </c>
      <c r="G138" s="23">
        <v>324807.29032258067</v>
      </c>
      <c r="H138" s="23">
        <v>3738.3689376022853</v>
      </c>
      <c r="I138" s="25">
        <f t="shared" si="21"/>
        <v>86.884760638661177</v>
      </c>
      <c r="J138" s="23">
        <f t="shared" si="22"/>
        <v>1177.5862153447199</v>
      </c>
      <c r="K138" s="32">
        <v>0.315</v>
      </c>
      <c r="L138" s="23">
        <v>322166.58064516127</v>
      </c>
      <c r="M138" s="23">
        <v>1848.345270482853</v>
      </c>
      <c r="N138" s="25">
        <f t="shared" si="19"/>
        <v>174.29999999999998</v>
      </c>
      <c r="O138" s="23">
        <f t="shared" si="23"/>
        <v>397.39423315381339</v>
      </c>
      <c r="P138" s="32">
        <v>0.215</v>
      </c>
      <c r="Q138" s="23">
        <v>25206.774193548386</v>
      </c>
      <c r="R138" s="23">
        <v>219.19410507818827</v>
      </c>
      <c r="S138" s="25">
        <f t="shared" si="24"/>
        <v>114.99750043258203</v>
      </c>
      <c r="T138" s="24"/>
      <c r="U138" s="32"/>
      <c r="V138" s="22"/>
      <c r="W138" s="24">
        <f t="shared" si="25"/>
        <v>995547.54838709673</v>
      </c>
    </row>
    <row r="139" spans="1:23" ht="18" customHeight="1" x14ac:dyDescent="0.25">
      <c r="A139" s="21">
        <v>46160</v>
      </c>
      <c r="B139" s="23">
        <v>965100.96774193551</v>
      </c>
      <c r="C139" s="23">
        <v>6148.7488802454163</v>
      </c>
      <c r="D139" s="25">
        <f t="shared" si="18"/>
        <v>156.95891742181789</v>
      </c>
      <c r="E139" s="23">
        <f t="shared" si="20"/>
        <v>1321.9810092527646</v>
      </c>
      <c r="F139" s="32">
        <v>0.215</v>
      </c>
      <c r="G139" s="23">
        <v>465519.29032258067</v>
      </c>
      <c r="H139" s="23">
        <v>5357.8934545103439</v>
      </c>
      <c r="I139" s="25">
        <f t="shared" si="21"/>
        <v>86.884760638661177</v>
      </c>
      <c r="J139" s="23">
        <f t="shared" si="22"/>
        <v>1687.7364381707582</v>
      </c>
      <c r="K139" s="32">
        <v>0.315</v>
      </c>
      <c r="L139" s="23">
        <v>461734.58064516127</v>
      </c>
      <c r="M139" s="23">
        <v>2649.0796365184237</v>
      </c>
      <c r="N139" s="25">
        <f t="shared" si="19"/>
        <v>174.3</v>
      </c>
      <c r="O139" s="23">
        <f t="shared" si="23"/>
        <v>569.55212185146115</v>
      </c>
      <c r="P139" s="32">
        <v>0.215</v>
      </c>
      <c r="Q139" s="23">
        <v>36651.774193548386</v>
      </c>
      <c r="R139" s="23">
        <v>318.71800739734954</v>
      </c>
      <c r="S139" s="25">
        <f t="shared" si="24"/>
        <v>114.99750043258203</v>
      </c>
      <c r="T139" s="24"/>
      <c r="U139" s="32"/>
      <c r="V139" s="22"/>
      <c r="W139" s="24">
        <f t="shared" si="25"/>
        <v>1426835.5483870967</v>
      </c>
    </row>
    <row r="140" spans="1:23" ht="18" customHeight="1" x14ac:dyDescent="0.25">
      <c r="A140" s="21">
        <v>46161</v>
      </c>
      <c r="B140" s="23">
        <v>1007175.9677419355</v>
      </c>
      <c r="C140" s="23">
        <v>6416.8126557295827</v>
      </c>
      <c r="D140" s="25">
        <f t="shared" si="18"/>
        <v>156.95891742181789</v>
      </c>
      <c r="E140" s="23">
        <f t="shared" si="20"/>
        <v>1379.6147209818603</v>
      </c>
      <c r="F140" s="32">
        <v>0.215</v>
      </c>
      <c r="G140" s="23">
        <v>485814.29032258067</v>
      </c>
      <c r="H140" s="23">
        <v>5591.4787213720829</v>
      </c>
      <c r="I140" s="25">
        <f t="shared" si="21"/>
        <v>86.884760638661177</v>
      </c>
      <c r="J140" s="23">
        <f t="shared" si="22"/>
        <v>1761.315797232206</v>
      </c>
      <c r="K140" s="32">
        <v>0.315</v>
      </c>
      <c r="L140" s="23">
        <v>481864.58064516133</v>
      </c>
      <c r="M140" s="23">
        <v>2764.5701700812465</v>
      </c>
      <c r="N140" s="25">
        <f t="shared" si="19"/>
        <v>174.3</v>
      </c>
      <c r="O140" s="23">
        <f t="shared" si="23"/>
        <v>594.38258656746802</v>
      </c>
      <c r="P140" s="32">
        <v>0.215</v>
      </c>
      <c r="Q140" s="23">
        <v>38541.774193548394</v>
      </c>
      <c r="R140" s="23">
        <v>335.15314722987159</v>
      </c>
      <c r="S140" s="25">
        <f t="shared" si="24"/>
        <v>114.99750043258204</v>
      </c>
      <c r="T140" s="24"/>
      <c r="U140" s="32"/>
      <c r="V140" s="22"/>
      <c r="W140" s="24">
        <f t="shared" si="25"/>
        <v>1489040.5483870967</v>
      </c>
    </row>
    <row r="141" spans="1:23" ht="18" customHeight="1" x14ac:dyDescent="0.25">
      <c r="A141" s="21">
        <v>46162</v>
      </c>
      <c r="B141" s="23">
        <v>1038030.9677419354</v>
      </c>
      <c r="C141" s="23">
        <v>6613.3927577513041</v>
      </c>
      <c r="D141" s="25">
        <f t="shared" si="18"/>
        <v>156.95891742181789</v>
      </c>
      <c r="E141" s="23">
        <f t="shared" si="20"/>
        <v>1421.8794429165303</v>
      </c>
      <c r="F141" s="32">
        <v>0.215</v>
      </c>
      <c r="G141" s="23">
        <v>500697.29032258061</v>
      </c>
      <c r="H141" s="23">
        <v>5762.7745837373577</v>
      </c>
      <c r="I141" s="25">
        <f t="shared" si="21"/>
        <v>86.884760638661177</v>
      </c>
      <c r="J141" s="23">
        <f t="shared" si="22"/>
        <v>1815.2739938772677</v>
      </c>
      <c r="K141" s="32">
        <v>0.315</v>
      </c>
      <c r="L141" s="23">
        <v>496626.58064516127</v>
      </c>
      <c r="M141" s="23">
        <v>2849.2632280273165</v>
      </c>
      <c r="N141" s="25">
        <f t="shared" si="19"/>
        <v>174.3</v>
      </c>
      <c r="O141" s="23">
        <f t="shared" si="23"/>
        <v>612.59159402587306</v>
      </c>
      <c r="P141" s="32">
        <v>0.215</v>
      </c>
      <c r="Q141" s="23">
        <v>39696.774193548386</v>
      </c>
      <c r="R141" s="23">
        <v>345.19684379419061</v>
      </c>
      <c r="S141" s="25">
        <f t="shared" si="24"/>
        <v>114.99750043258203</v>
      </c>
      <c r="T141" s="24"/>
      <c r="U141" s="32"/>
      <c r="V141" s="22"/>
      <c r="W141" s="24">
        <f t="shared" si="25"/>
        <v>1534657.5483870967</v>
      </c>
    </row>
    <row r="142" spans="1:23" ht="18" customHeight="1" x14ac:dyDescent="0.25">
      <c r="A142" s="21">
        <v>46163</v>
      </c>
      <c r="B142" s="23">
        <v>995955.9677419354</v>
      </c>
      <c r="C142" s="23">
        <v>6345.3289822671377</v>
      </c>
      <c r="D142" s="25">
        <f t="shared" si="18"/>
        <v>156.95891742181789</v>
      </c>
      <c r="E142" s="23">
        <f t="shared" si="20"/>
        <v>1364.2457311874346</v>
      </c>
      <c r="F142" s="32">
        <v>0.215</v>
      </c>
      <c r="G142" s="23">
        <v>480402.29032258061</v>
      </c>
      <c r="H142" s="23">
        <v>5529.1893168756187</v>
      </c>
      <c r="I142" s="25">
        <f t="shared" si="21"/>
        <v>86.884760638661177</v>
      </c>
      <c r="J142" s="23">
        <f t="shared" si="22"/>
        <v>1741.6946348158199</v>
      </c>
      <c r="K142" s="32">
        <v>0.315</v>
      </c>
      <c r="L142" s="23">
        <v>476496.58064516127</v>
      </c>
      <c r="M142" s="23">
        <v>2733.7726944644933</v>
      </c>
      <c r="N142" s="25">
        <f t="shared" si="19"/>
        <v>174.30000000000004</v>
      </c>
      <c r="O142" s="23">
        <f t="shared" si="23"/>
        <v>587.76112930986608</v>
      </c>
      <c r="P142" s="32">
        <v>0.215</v>
      </c>
      <c r="Q142" s="23">
        <v>38226.774193548386</v>
      </c>
      <c r="R142" s="23">
        <v>332.4139572577846</v>
      </c>
      <c r="S142" s="25">
        <f t="shared" si="24"/>
        <v>114.99750043258202</v>
      </c>
      <c r="T142" s="24"/>
      <c r="U142" s="32"/>
      <c r="V142" s="22"/>
      <c r="W142" s="24">
        <f t="shared" si="25"/>
        <v>1472452.5483870967</v>
      </c>
    </row>
    <row r="143" spans="1:23" ht="18" customHeight="1" x14ac:dyDescent="0.25">
      <c r="A143" s="21">
        <v>46164</v>
      </c>
      <c r="B143" s="23">
        <v>928635.9677419354</v>
      </c>
      <c r="C143" s="23">
        <v>5916.426941492472</v>
      </c>
      <c r="D143" s="25">
        <f t="shared" si="18"/>
        <v>156.95891742181789</v>
      </c>
      <c r="E143" s="23">
        <f t="shared" si="20"/>
        <v>1272.0317924208814</v>
      </c>
      <c r="F143" s="32">
        <v>0.215</v>
      </c>
      <c r="G143" s="23">
        <v>447930.29032258061</v>
      </c>
      <c r="H143" s="23">
        <v>5155.4528898968356</v>
      </c>
      <c r="I143" s="25">
        <f t="shared" si="21"/>
        <v>86.884760638661177</v>
      </c>
      <c r="J143" s="23">
        <f t="shared" si="22"/>
        <v>1623.9676603175033</v>
      </c>
      <c r="K143" s="32">
        <v>0.315</v>
      </c>
      <c r="L143" s="23">
        <v>444288.58064516127</v>
      </c>
      <c r="M143" s="23">
        <v>2548.9878407639771</v>
      </c>
      <c r="N143" s="25">
        <f t="shared" si="19"/>
        <v>174.3</v>
      </c>
      <c r="O143" s="23">
        <f t="shared" si="23"/>
        <v>548.03238576425508</v>
      </c>
      <c r="P143" s="32">
        <v>0.215</v>
      </c>
      <c r="Q143" s="23">
        <v>35181.774193548386</v>
      </c>
      <c r="R143" s="23">
        <v>305.93512086094353</v>
      </c>
      <c r="S143" s="25">
        <f t="shared" si="24"/>
        <v>114.99750043258202</v>
      </c>
      <c r="T143" s="24"/>
      <c r="U143" s="32"/>
      <c r="V143" s="22"/>
      <c r="W143" s="24">
        <f t="shared" si="25"/>
        <v>1372924.5483870967</v>
      </c>
    </row>
    <row r="144" spans="1:23" ht="18" customHeight="1" x14ac:dyDescent="0.25">
      <c r="A144" s="21">
        <v>46165</v>
      </c>
      <c r="B144" s="23">
        <v>757530.96774193551</v>
      </c>
      <c r="C144" s="23">
        <v>4826.3009211901954</v>
      </c>
      <c r="D144" s="25">
        <f t="shared" si="18"/>
        <v>156.95891742181789</v>
      </c>
      <c r="E144" s="23">
        <f t="shared" si="20"/>
        <v>1037.6546980558919</v>
      </c>
      <c r="F144" s="32">
        <v>0.215</v>
      </c>
      <c r="G144" s="23">
        <v>365397.29032258067</v>
      </c>
      <c r="H144" s="23">
        <v>4205.5394713257638</v>
      </c>
      <c r="I144" s="25">
        <f t="shared" si="21"/>
        <v>86.884760638661177</v>
      </c>
      <c r="J144" s="23">
        <f t="shared" si="22"/>
        <v>1324.7449334676155</v>
      </c>
      <c r="K144" s="32">
        <v>0.315</v>
      </c>
      <c r="L144" s="23">
        <v>362426.58064516127</v>
      </c>
      <c r="M144" s="23">
        <v>2079.3263376084983</v>
      </c>
      <c r="N144" s="25">
        <f t="shared" si="19"/>
        <v>174.3</v>
      </c>
      <c r="O144" s="23">
        <f t="shared" si="23"/>
        <v>447.05516258582713</v>
      </c>
      <c r="P144" s="32">
        <v>0.215</v>
      </c>
      <c r="Q144" s="23">
        <v>28356.774193548386</v>
      </c>
      <c r="R144" s="23">
        <v>246.58600479905834</v>
      </c>
      <c r="S144" s="25">
        <f t="shared" si="24"/>
        <v>114.99750043258203</v>
      </c>
      <c r="T144" s="24"/>
      <c r="U144" s="32"/>
      <c r="V144" s="22"/>
      <c r="W144" s="24">
        <f t="shared" si="25"/>
        <v>1119957.5483870967</v>
      </c>
    </row>
    <row r="145" spans="1:25" ht="18" customHeight="1" x14ac:dyDescent="0.25">
      <c r="A145" s="21">
        <v>46166</v>
      </c>
      <c r="B145" s="23">
        <v>673380.96774193551</v>
      </c>
      <c r="C145" s="23">
        <v>4290.1733702218626</v>
      </c>
      <c r="D145" s="25">
        <f t="shared" si="18"/>
        <v>156.95891742181789</v>
      </c>
      <c r="E145" s="23">
        <f t="shared" si="20"/>
        <v>922.38727459770041</v>
      </c>
      <c r="F145" s="32">
        <v>0.215</v>
      </c>
      <c r="G145" s="23">
        <v>324807.29032258067</v>
      </c>
      <c r="H145" s="23">
        <v>3738.3689376022853</v>
      </c>
      <c r="I145" s="25">
        <f t="shared" si="21"/>
        <v>86.884760638661177</v>
      </c>
      <c r="J145" s="23">
        <f t="shared" si="22"/>
        <v>1177.5862153447199</v>
      </c>
      <c r="K145" s="32">
        <v>0.315</v>
      </c>
      <c r="L145" s="23">
        <v>322166.58064516127</v>
      </c>
      <c r="M145" s="23">
        <v>1848.345270482853</v>
      </c>
      <c r="N145" s="25">
        <f t="shared" si="19"/>
        <v>174.29999999999998</v>
      </c>
      <c r="O145" s="23">
        <f t="shared" si="23"/>
        <v>397.39423315381339</v>
      </c>
      <c r="P145" s="32">
        <v>0.215</v>
      </c>
      <c r="Q145" s="23">
        <v>25206.774193548386</v>
      </c>
      <c r="R145" s="23">
        <v>219.19410507818827</v>
      </c>
      <c r="S145" s="25">
        <f t="shared" si="24"/>
        <v>114.99750043258203</v>
      </c>
      <c r="T145" s="24"/>
      <c r="U145" s="32"/>
      <c r="V145" s="22"/>
      <c r="W145" s="24">
        <f t="shared" si="25"/>
        <v>995547.54838709673</v>
      </c>
    </row>
    <row r="146" spans="1:25" ht="18" customHeight="1" x14ac:dyDescent="0.25">
      <c r="A146" s="21">
        <v>46167</v>
      </c>
      <c r="B146" s="23">
        <v>979125.96774193551</v>
      </c>
      <c r="C146" s="23">
        <v>6238.1034720734724</v>
      </c>
      <c r="D146" s="25">
        <f t="shared" si="18"/>
        <v>156.95891742181789</v>
      </c>
      <c r="E146" s="23">
        <f t="shared" si="20"/>
        <v>1341.1922464957966</v>
      </c>
      <c r="F146" s="32">
        <v>0.215</v>
      </c>
      <c r="G146" s="23">
        <v>472284.29032258067</v>
      </c>
      <c r="H146" s="23">
        <v>5435.7552101309229</v>
      </c>
      <c r="I146" s="25">
        <f t="shared" si="21"/>
        <v>86.884760638661177</v>
      </c>
      <c r="J146" s="23">
        <f t="shared" si="22"/>
        <v>1712.2628911912407</v>
      </c>
      <c r="K146" s="32">
        <v>0.315</v>
      </c>
      <c r="L146" s="23">
        <v>468444.58064516127</v>
      </c>
      <c r="M146" s="23">
        <v>2687.5764810393648</v>
      </c>
      <c r="N146" s="25">
        <f t="shared" si="19"/>
        <v>174.29999999999998</v>
      </c>
      <c r="O146" s="23">
        <f t="shared" si="23"/>
        <v>577.82894342346344</v>
      </c>
      <c r="P146" s="32">
        <v>0.215</v>
      </c>
      <c r="Q146" s="23">
        <v>36126.774193548386</v>
      </c>
      <c r="R146" s="23">
        <v>314.1526907772045</v>
      </c>
      <c r="S146" s="25">
        <f t="shared" si="24"/>
        <v>114.99750043258204</v>
      </c>
      <c r="T146" s="24"/>
      <c r="U146" s="32"/>
      <c r="V146" s="22"/>
      <c r="W146" s="24">
        <f t="shared" si="25"/>
        <v>1447570.5483870967</v>
      </c>
    </row>
    <row r="147" spans="1:25" ht="18" customHeight="1" x14ac:dyDescent="0.25">
      <c r="A147" s="21">
        <v>46168</v>
      </c>
      <c r="B147" s="23">
        <v>1029615.9677419356</v>
      </c>
      <c r="C147" s="23">
        <v>6559.7800026544719</v>
      </c>
      <c r="D147" s="25">
        <f t="shared" si="18"/>
        <v>156.95891742181789</v>
      </c>
      <c r="E147" s="23">
        <f t="shared" si="20"/>
        <v>1410.3527005707115</v>
      </c>
      <c r="F147" s="32">
        <v>0.215</v>
      </c>
      <c r="G147" s="23">
        <v>496638.29032258067</v>
      </c>
      <c r="H147" s="23">
        <v>5716.0575303650112</v>
      </c>
      <c r="I147" s="25">
        <f t="shared" si="21"/>
        <v>86.884760638661163</v>
      </c>
      <c r="J147" s="23">
        <f t="shared" si="22"/>
        <v>1800.5581220649785</v>
      </c>
      <c r="K147" s="32">
        <v>0.315</v>
      </c>
      <c r="L147" s="23">
        <v>492600.58064516133</v>
      </c>
      <c r="M147" s="23">
        <v>2826.165121314752</v>
      </c>
      <c r="N147" s="25">
        <f t="shared" si="19"/>
        <v>174.3</v>
      </c>
      <c r="O147" s="23">
        <f t="shared" si="23"/>
        <v>607.62550108267169</v>
      </c>
      <c r="P147" s="32">
        <v>0.215</v>
      </c>
      <c r="Q147" s="23">
        <v>37701.774193548386</v>
      </c>
      <c r="R147" s="23">
        <v>327.84864063763956</v>
      </c>
      <c r="S147" s="25">
        <f t="shared" si="24"/>
        <v>114.99750043258203</v>
      </c>
      <c r="T147" s="24"/>
      <c r="U147" s="32"/>
      <c r="V147" s="22"/>
      <c r="W147" s="24">
        <f t="shared" si="25"/>
        <v>1522216.548387097</v>
      </c>
    </row>
    <row r="148" spans="1:25" ht="18" customHeight="1" x14ac:dyDescent="0.25">
      <c r="A148" s="21">
        <v>46169</v>
      </c>
      <c r="B148" s="23">
        <v>1060470.9677419355</v>
      </c>
      <c r="C148" s="23">
        <v>6756.3601046761933</v>
      </c>
      <c r="D148" s="25">
        <f t="shared" si="18"/>
        <v>156.95891742181789</v>
      </c>
      <c r="E148" s="23">
        <f t="shared" si="20"/>
        <v>1452.6174225053815</v>
      </c>
      <c r="F148" s="32">
        <v>0.215</v>
      </c>
      <c r="G148" s="23">
        <v>511521.29032258067</v>
      </c>
      <c r="H148" s="23">
        <v>5887.353392730286</v>
      </c>
      <c r="I148" s="25">
        <f t="shared" si="21"/>
        <v>86.884760638661177</v>
      </c>
      <c r="J148" s="23">
        <f t="shared" si="22"/>
        <v>1854.5163187100402</v>
      </c>
      <c r="K148" s="32">
        <v>0.315</v>
      </c>
      <c r="L148" s="23">
        <v>507362.58064516127</v>
      </c>
      <c r="M148" s="23">
        <v>2910.858179260822</v>
      </c>
      <c r="N148" s="25">
        <f t="shared" si="19"/>
        <v>174.3</v>
      </c>
      <c r="O148" s="23">
        <f t="shared" si="23"/>
        <v>625.83450854107673</v>
      </c>
      <c r="P148" s="32">
        <v>0.215</v>
      </c>
      <c r="Q148" s="23">
        <v>38856.774193548386</v>
      </c>
      <c r="R148" s="23">
        <v>337.89233720195858</v>
      </c>
      <c r="S148" s="25">
        <f t="shared" si="24"/>
        <v>114.99750043258203</v>
      </c>
      <c r="T148" s="24"/>
      <c r="U148" s="32"/>
      <c r="V148" s="22"/>
      <c r="W148" s="24">
        <f t="shared" si="25"/>
        <v>1567833.5483870967</v>
      </c>
    </row>
    <row r="149" spans="1:25" ht="18" customHeight="1" x14ac:dyDescent="0.25">
      <c r="A149" s="21">
        <v>46170</v>
      </c>
      <c r="B149" s="23">
        <v>1021200.9677419355</v>
      </c>
      <c r="C149" s="23">
        <v>6506.1672475576388</v>
      </c>
      <c r="D149" s="25">
        <f t="shared" si="18"/>
        <v>156.95891742181789</v>
      </c>
      <c r="E149" s="23">
        <f t="shared" si="20"/>
        <v>1398.8259582248922</v>
      </c>
      <c r="F149" s="32">
        <v>0.215</v>
      </c>
      <c r="G149" s="23">
        <v>492579.29032258067</v>
      </c>
      <c r="H149" s="23">
        <v>5669.3404769926628</v>
      </c>
      <c r="I149" s="25">
        <f t="shared" si="21"/>
        <v>86.884760638661177</v>
      </c>
      <c r="J149" s="23">
        <f t="shared" si="22"/>
        <v>1785.8422502526887</v>
      </c>
      <c r="K149" s="32">
        <v>0.315</v>
      </c>
      <c r="L149" s="23">
        <v>488574.58064516133</v>
      </c>
      <c r="M149" s="23">
        <v>2803.0670146021876</v>
      </c>
      <c r="N149" s="25">
        <f t="shared" si="19"/>
        <v>174.3</v>
      </c>
      <c r="O149" s="23">
        <f t="shared" si="23"/>
        <v>602.65940813947032</v>
      </c>
      <c r="P149" s="32">
        <v>0.215</v>
      </c>
      <c r="Q149" s="23">
        <v>37281.774193548386</v>
      </c>
      <c r="R149" s="23">
        <v>324.19638734152352</v>
      </c>
      <c r="S149" s="25">
        <f t="shared" si="24"/>
        <v>114.99750043258204</v>
      </c>
      <c r="T149" s="24"/>
      <c r="U149" s="32"/>
      <c r="V149" s="22"/>
      <c r="W149" s="24">
        <f t="shared" si="25"/>
        <v>1509775.5483870967</v>
      </c>
    </row>
    <row r="150" spans="1:25" ht="18" customHeight="1" x14ac:dyDescent="0.25">
      <c r="A150" s="21">
        <v>46171</v>
      </c>
      <c r="B150" s="23">
        <v>939855.96774193551</v>
      </c>
      <c r="C150" s="23">
        <v>5987.910614954917</v>
      </c>
      <c r="D150" s="25">
        <f t="shared" si="18"/>
        <v>156.95891742181789</v>
      </c>
      <c r="E150" s="23">
        <f t="shared" si="20"/>
        <v>1287.4007822153071</v>
      </c>
      <c r="F150" s="32">
        <v>0.215</v>
      </c>
      <c r="G150" s="23">
        <v>453342.29032258067</v>
      </c>
      <c r="H150" s="23">
        <v>5217.7422943933007</v>
      </c>
      <c r="I150" s="25">
        <f t="shared" si="21"/>
        <v>86.884760638661163</v>
      </c>
      <c r="J150" s="23">
        <f t="shared" si="22"/>
        <v>1643.5888227338896</v>
      </c>
      <c r="K150" s="32">
        <v>0.315</v>
      </c>
      <c r="L150" s="23">
        <v>449656.58064516133</v>
      </c>
      <c r="M150" s="23">
        <v>2579.7853163807304</v>
      </c>
      <c r="N150" s="25">
        <f t="shared" si="19"/>
        <v>174.3</v>
      </c>
      <c r="O150" s="23">
        <f t="shared" si="23"/>
        <v>554.65384302185703</v>
      </c>
      <c r="P150" s="32">
        <v>0.215</v>
      </c>
      <c r="Q150" s="23">
        <v>34761.774193548386</v>
      </c>
      <c r="R150" s="23">
        <v>302.28286756482748</v>
      </c>
      <c r="S150" s="25">
        <f t="shared" si="24"/>
        <v>114.99750043258203</v>
      </c>
      <c r="T150" s="24"/>
      <c r="U150" s="32"/>
      <c r="V150" s="22"/>
      <c r="W150" s="24">
        <f t="shared" si="25"/>
        <v>1389512.5483870967</v>
      </c>
    </row>
    <row r="151" spans="1:25" ht="18" customHeight="1" x14ac:dyDescent="0.25">
      <c r="A151" s="21">
        <v>46172</v>
      </c>
      <c r="B151" s="23">
        <v>757530.96774193551</v>
      </c>
      <c r="C151" s="23">
        <v>4826.3009211901954</v>
      </c>
      <c r="D151" s="25">
        <f t="shared" si="18"/>
        <v>156.95891742181789</v>
      </c>
      <c r="E151" s="23">
        <f t="shared" si="20"/>
        <v>1037.6546980558919</v>
      </c>
      <c r="F151" s="32">
        <v>0.215</v>
      </c>
      <c r="G151" s="23">
        <v>365397.29032258067</v>
      </c>
      <c r="H151" s="23">
        <v>4205.5394713257638</v>
      </c>
      <c r="I151" s="25">
        <f t="shared" si="21"/>
        <v>86.884760638661177</v>
      </c>
      <c r="J151" s="23">
        <f t="shared" si="22"/>
        <v>1324.7449334676155</v>
      </c>
      <c r="K151" s="32">
        <v>0.315</v>
      </c>
      <c r="L151" s="23">
        <v>362426.58064516127</v>
      </c>
      <c r="M151" s="23">
        <v>2079.3263376084983</v>
      </c>
      <c r="N151" s="25">
        <f t="shared" si="19"/>
        <v>174.3</v>
      </c>
      <c r="O151" s="23">
        <f t="shared" si="23"/>
        <v>447.05516258582713</v>
      </c>
      <c r="P151" s="32">
        <v>0.215</v>
      </c>
      <c r="Q151" s="23">
        <v>28356.774193548386</v>
      </c>
      <c r="R151" s="23">
        <v>246.58600479905834</v>
      </c>
      <c r="S151" s="25">
        <f t="shared" si="24"/>
        <v>114.99750043258203</v>
      </c>
      <c r="T151" s="24"/>
      <c r="U151" s="32"/>
      <c r="V151" s="22"/>
      <c r="W151" s="24">
        <f t="shared" si="25"/>
        <v>1119957.5483870967</v>
      </c>
    </row>
    <row r="152" spans="1:25" ht="18" customHeight="1" x14ac:dyDescent="0.25">
      <c r="A152" s="21">
        <v>46173</v>
      </c>
      <c r="B152" s="23">
        <v>673380.9677419347</v>
      </c>
      <c r="C152" s="23">
        <v>4290.173370221858</v>
      </c>
      <c r="D152" s="25">
        <f t="shared" si="18"/>
        <v>156.95891742181789</v>
      </c>
      <c r="E152" s="23">
        <f t="shared" si="20"/>
        <v>922.3872745976995</v>
      </c>
      <c r="F152" s="32">
        <v>0.215</v>
      </c>
      <c r="G152" s="23">
        <v>324807.29032258026</v>
      </c>
      <c r="H152" s="23">
        <v>3738.3689376022812</v>
      </c>
      <c r="I152" s="25">
        <f t="shared" si="21"/>
        <v>86.884760638661163</v>
      </c>
      <c r="J152" s="23">
        <f t="shared" si="22"/>
        <v>1177.5862153447185</v>
      </c>
      <c r="K152" s="32">
        <v>0.315</v>
      </c>
      <c r="L152" s="23">
        <v>322166.58064516092</v>
      </c>
      <c r="M152" s="23">
        <v>1848.3452704828508</v>
      </c>
      <c r="N152" s="25">
        <f t="shared" si="19"/>
        <v>174.3</v>
      </c>
      <c r="O152" s="23">
        <f t="shared" si="23"/>
        <v>397.39423315381293</v>
      </c>
      <c r="P152" s="32">
        <v>0.215</v>
      </c>
      <c r="Q152" s="23">
        <v>25206.774193548386</v>
      </c>
      <c r="R152" s="23">
        <v>219.19410507818827</v>
      </c>
      <c r="S152" s="25">
        <f t="shared" si="24"/>
        <v>114.99750043258203</v>
      </c>
      <c r="T152" s="24"/>
      <c r="U152" s="32"/>
      <c r="V152" s="22"/>
      <c r="W152" s="24">
        <f t="shared" si="25"/>
        <v>995547.54838709556</v>
      </c>
    </row>
    <row r="153" spans="1:25" s="18" customFormat="1" ht="18" customHeight="1" x14ac:dyDescent="0.25">
      <c r="A153" s="21">
        <v>46174</v>
      </c>
      <c r="B153" s="23">
        <v>1064843.9141322081</v>
      </c>
      <c r="C153" s="23">
        <v>6812.8311562779363</v>
      </c>
      <c r="D153" s="25">
        <f t="shared" ref="D153:D182" si="26">B153/C153</f>
        <v>156.29976579574677</v>
      </c>
      <c r="E153" s="23">
        <f t="shared" ref="E153:E182" si="27">F153*C153</f>
        <v>1464.7586985997564</v>
      </c>
      <c r="F153" s="32">
        <v>0.215</v>
      </c>
      <c r="G153" s="23">
        <v>514212.97754519316</v>
      </c>
      <c r="H153" s="23">
        <v>6072.0704073844681</v>
      </c>
      <c r="I153" s="25">
        <f t="shared" ref="I153:I182" si="28">IFERROR(G153/H153,0)</f>
        <v>84.68494978579956</v>
      </c>
      <c r="J153" s="23">
        <f t="shared" ref="J153:J182" si="29">K153*H153</f>
        <v>1912.7021783261075</v>
      </c>
      <c r="K153" s="32">
        <v>0.315</v>
      </c>
      <c r="L153" s="23">
        <v>482066.80397245201</v>
      </c>
      <c r="M153" s="23">
        <v>2751.5290604616698</v>
      </c>
      <c r="N153" s="25">
        <f t="shared" ref="N153:N182" si="30">L153/M153</f>
        <v>175.19960479413132</v>
      </c>
      <c r="O153" s="23">
        <f t="shared" ref="O153:O182" si="31">P153*M153</f>
        <v>591.57874799925901</v>
      </c>
      <c r="P153" s="32">
        <v>0.215</v>
      </c>
      <c r="Q153" s="23">
        <v>37313.446214350792</v>
      </c>
      <c r="R153" s="23">
        <v>339.97879993589908</v>
      </c>
      <c r="S153" s="25">
        <f t="shared" si="24"/>
        <v>109.75227343994983</v>
      </c>
      <c r="T153" s="24"/>
      <c r="U153" s="32"/>
      <c r="V153" s="22"/>
      <c r="W153" s="24">
        <f t="shared" si="25"/>
        <v>1546910.71810466</v>
      </c>
      <c r="X153"/>
      <c r="Y153"/>
    </row>
    <row r="154" spans="1:25" ht="18" customHeight="1" x14ac:dyDescent="0.25">
      <c r="A154" s="21">
        <v>46175</v>
      </c>
      <c r="B154" s="23">
        <v>1130026.8901406636</v>
      </c>
      <c r="C154" s="23">
        <v>7229.8693756034654</v>
      </c>
      <c r="D154" s="25">
        <f t="shared" si="26"/>
        <v>156.29976579574677</v>
      </c>
      <c r="E154" s="23">
        <f t="shared" si="27"/>
        <v>1554.421915754745</v>
      </c>
      <c r="F154" s="32">
        <v>0.215</v>
      </c>
      <c r="G154" s="23">
        <v>545689.82756398688</v>
      </c>
      <c r="H154" s="23">
        <v>6443.7639621236585</v>
      </c>
      <c r="I154" s="25">
        <f t="shared" si="28"/>
        <v>84.68494978579956</v>
      </c>
      <c r="J154" s="23">
        <f t="shared" si="29"/>
        <v>2029.7856480689525</v>
      </c>
      <c r="K154" s="32">
        <v>0.315</v>
      </c>
      <c r="L154" s="23">
        <v>511575.86957425601</v>
      </c>
      <c r="M154" s="23">
        <v>2919.96018013502</v>
      </c>
      <c r="N154" s="25">
        <f t="shared" si="30"/>
        <v>175.19960479413132</v>
      </c>
      <c r="O154" s="23">
        <f t="shared" si="31"/>
        <v>627.79143872902932</v>
      </c>
      <c r="P154" s="32">
        <v>0.215</v>
      </c>
      <c r="Q154" s="23">
        <v>39597.538217980204</v>
      </c>
      <c r="R154" s="23">
        <v>360.7901410775396</v>
      </c>
      <c r="S154" s="25">
        <f t="shared" si="24"/>
        <v>109.75227343994983</v>
      </c>
      <c r="T154" s="24"/>
      <c r="U154" s="32"/>
      <c r="V154" s="22"/>
      <c r="W154" s="24">
        <f t="shared" si="25"/>
        <v>1641602.7597149196</v>
      </c>
    </row>
    <row r="155" spans="1:25" ht="18" customHeight="1" x14ac:dyDescent="0.25">
      <c r="A155" s="21">
        <v>46176</v>
      </c>
      <c r="B155" s="23">
        <v>1169908.4781977185</v>
      </c>
      <c r="C155" s="23">
        <v>7485.0302701448718</v>
      </c>
      <c r="D155" s="25">
        <f t="shared" si="26"/>
        <v>156.29976579574677</v>
      </c>
      <c r="E155" s="23">
        <f t="shared" si="27"/>
        <v>1609.2815080811474</v>
      </c>
      <c r="F155" s="32">
        <v>0.215</v>
      </c>
      <c r="G155" s="23">
        <v>564948.64087162714</v>
      </c>
      <c r="H155" s="23">
        <v>6671.1811520299298</v>
      </c>
      <c r="I155" s="25">
        <f t="shared" si="28"/>
        <v>84.684949785799574</v>
      </c>
      <c r="J155" s="23">
        <f t="shared" si="29"/>
        <v>2101.4220628894277</v>
      </c>
      <c r="K155" s="32">
        <v>0.315</v>
      </c>
      <c r="L155" s="23">
        <v>529630.71257693053</v>
      </c>
      <c r="M155" s="23">
        <v>3023.0131694604806</v>
      </c>
      <c r="N155" s="25">
        <f t="shared" si="30"/>
        <v>175.19960479413132</v>
      </c>
      <c r="O155" s="23">
        <f t="shared" si="31"/>
        <v>649.94783143400332</v>
      </c>
      <c r="P155" s="32">
        <v>0.215</v>
      </c>
      <c r="Q155" s="23">
        <v>40995.038331527416</v>
      </c>
      <c r="R155" s="23">
        <v>373.52336354068836</v>
      </c>
      <c r="S155" s="25">
        <f t="shared" si="24"/>
        <v>109.75227343994983</v>
      </c>
      <c r="T155" s="24"/>
      <c r="U155" s="32"/>
      <c r="V155" s="22"/>
      <c r="W155" s="24">
        <f t="shared" si="25"/>
        <v>1699539.1907746489</v>
      </c>
    </row>
    <row r="156" spans="1:25" ht="18" customHeight="1" x14ac:dyDescent="0.25">
      <c r="A156" s="21">
        <v>46177</v>
      </c>
      <c r="B156" s="23">
        <v>928905.60699999996</v>
      </c>
      <c r="C156" s="23">
        <v>5943.1030000000001</v>
      </c>
      <c r="D156" s="25">
        <f t="shared" si="26"/>
        <v>156.29976579574677</v>
      </c>
      <c r="E156" s="23">
        <f t="shared" si="27"/>
        <v>1277.767145</v>
      </c>
      <c r="F156" s="32">
        <v>0.215</v>
      </c>
      <c r="G156" s="23">
        <v>448568.38799999998</v>
      </c>
      <c r="H156" s="23">
        <v>5296.9080000000004</v>
      </c>
      <c r="I156" s="25">
        <f t="shared" si="28"/>
        <v>84.68494978579956</v>
      </c>
      <c r="J156" s="23">
        <f t="shared" si="29"/>
        <v>1668.52602</v>
      </c>
      <c r="K156" s="32">
        <v>0.315</v>
      </c>
      <c r="L156" s="23">
        <v>420526.005</v>
      </c>
      <c r="M156" s="23">
        <v>2400.268</v>
      </c>
      <c r="N156" s="25">
        <f t="shared" si="30"/>
        <v>175.19960479413132</v>
      </c>
      <c r="O156" s="23">
        <f t="shared" si="31"/>
        <v>516.05762000000004</v>
      </c>
      <c r="P156" s="32">
        <v>0.215</v>
      </c>
      <c r="Q156" s="23">
        <v>32550</v>
      </c>
      <c r="R156" s="23">
        <v>296.577</v>
      </c>
      <c r="S156" s="25">
        <f t="shared" si="24"/>
        <v>109.75227343994983</v>
      </c>
      <c r="T156" s="24"/>
      <c r="U156" s="32"/>
      <c r="V156" s="22"/>
      <c r="W156" s="24">
        <f t="shared" si="25"/>
        <v>1349431.612</v>
      </c>
    </row>
    <row r="157" spans="1:25" ht="18" customHeight="1" x14ac:dyDescent="0.25">
      <c r="A157" s="21">
        <v>46178</v>
      </c>
      <c r="B157" s="23">
        <v>1273885.1266203786</v>
      </c>
      <c r="C157" s="23">
        <v>8150.2689408063316</v>
      </c>
      <c r="D157" s="25">
        <f t="shared" si="26"/>
        <v>156.29976579574677</v>
      </c>
      <c r="E157" s="23">
        <f t="shared" si="27"/>
        <v>1752.3078222733614</v>
      </c>
      <c r="F157" s="32">
        <v>0.215</v>
      </c>
      <c r="G157" s="23">
        <v>615158.94988593727</v>
      </c>
      <c r="H157" s="23">
        <v>7264.0882641119606</v>
      </c>
      <c r="I157" s="25">
        <f t="shared" si="28"/>
        <v>84.68494978579956</v>
      </c>
      <c r="J157" s="23">
        <f t="shared" si="29"/>
        <v>2288.1878031952674</v>
      </c>
      <c r="K157" s="32">
        <v>0.315</v>
      </c>
      <c r="L157" s="23">
        <v>576702.10954662377</v>
      </c>
      <c r="M157" s="23">
        <v>3291.6861326501207</v>
      </c>
      <c r="N157" s="25">
        <f t="shared" si="30"/>
        <v>175.19960479413135</v>
      </c>
      <c r="O157" s="23">
        <f t="shared" si="31"/>
        <v>707.71251851977593</v>
      </c>
      <c r="P157" s="32">
        <v>0.215</v>
      </c>
      <c r="Q157" s="23">
        <v>44638.508540613562</v>
      </c>
      <c r="R157" s="23">
        <v>406.7205821029047</v>
      </c>
      <c r="S157" s="25">
        <f t="shared" si="24"/>
        <v>109.75227343994983</v>
      </c>
      <c r="T157" s="24"/>
      <c r="U157" s="32"/>
      <c r="V157" s="22"/>
      <c r="W157" s="24">
        <f t="shared" si="25"/>
        <v>1850587.2361670025</v>
      </c>
    </row>
    <row r="158" spans="1:25" ht="18" customHeight="1" x14ac:dyDescent="0.25">
      <c r="A158" s="21">
        <v>46179</v>
      </c>
      <c r="B158" s="23">
        <v>900780.37640070589</v>
      </c>
      <c r="C158" s="23">
        <v>5763.1588365772068</v>
      </c>
      <c r="D158" s="25">
        <f t="shared" si="26"/>
        <v>156.29976579574677</v>
      </c>
      <c r="E158" s="23">
        <f t="shared" si="27"/>
        <v>1239.0791498640995</v>
      </c>
      <c r="F158" s="32">
        <v>0.215</v>
      </c>
      <c r="G158" s="23">
        <v>434986.71806822013</v>
      </c>
      <c r="H158" s="23">
        <v>5136.5292081824091</v>
      </c>
      <c r="I158" s="25">
        <f t="shared" si="28"/>
        <v>84.684949785799574</v>
      </c>
      <c r="J158" s="23">
        <f t="shared" si="29"/>
        <v>1618.0067005774588</v>
      </c>
      <c r="K158" s="32">
        <v>0.315</v>
      </c>
      <c r="L158" s="23">
        <v>407793.39710690873</v>
      </c>
      <c r="M158" s="23">
        <v>2327.5931334781676</v>
      </c>
      <c r="N158" s="25">
        <f t="shared" si="30"/>
        <v>175.19960479413132</v>
      </c>
      <c r="O158" s="23">
        <f t="shared" si="31"/>
        <v>500.432523697806</v>
      </c>
      <c r="P158" s="32">
        <v>0.215</v>
      </c>
      <c r="Q158" s="23">
        <v>31564.457175079766</v>
      </c>
      <c r="R158" s="23">
        <v>287.59729694665538</v>
      </c>
      <c r="S158" s="25">
        <f t="shared" si="24"/>
        <v>109.75227343994982</v>
      </c>
      <c r="T158" s="24"/>
      <c r="U158" s="32"/>
      <c r="V158" s="22"/>
      <c r="W158" s="24">
        <f t="shared" si="25"/>
        <v>1308573.7735076146</v>
      </c>
    </row>
    <row r="159" spans="1:25" ht="18" customHeight="1" x14ac:dyDescent="0.25">
      <c r="A159" s="21">
        <v>46180</v>
      </c>
      <c r="B159" s="23">
        <v>750956.89140070579</v>
      </c>
      <c r="C159" s="23">
        <v>4804.5938365772072</v>
      </c>
      <c r="D159" s="25">
        <f t="shared" si="26"/>
        <v>156.29976579574674</v>
      </c>
      <c r="E159" s="23">
        <f t="shared" si="27"/>
        <v>1032.9876748640995</v>
      </c>
      <c r="F159" s="32">
        <v>0.215</v>
      </c>
      <c r="G159" s="23">
        <v>362636.97806822008</v>
      </c>
      <c r="H159" s="23">
        <v>4282.1892081824089</v>
      </c>
      <c r="I159" s="25">
        <f t="shared" si="28"/>
        <v>84.68494978579956</v>
      </c>
      <c r="J159" s="23">
        <f t="shared" si="29"/>
        <v>1348.8896005774589</v>
      </c>
      <c r="K159" s="32">
        <v>0.315</v>
      </c>
      <c r="L159" s="23">
        <v>339966.62210690876</v>
      </c>
      <c r="M159" s="23">
        <v>1940.4531334781677</v>
      </c>
      <c r="N159" s="25">
        <f t="shared" si="30"/>
        <v>175.19960479413135</v>
      </c>
      <c r="O159" s="23">
        <f t="shared" si="31"/>
        <v>417.19742369780607</v>
      </c>
      <c r="P159" s="32">
        <v>0.215</v>
      </c>
      <c r="Q159" s="23">
        <v>26314.457175079766</v>
      </c>
      <c r="R159" s="23">
        <v>239.76229694665534</v>
      </c>
      <c r="S159" s="25">
        <f t="shared" si="24"/>
        <v>109.75227343994983</v>
      </c>
      <c r="T159" s="24"/>
      <c r="U159" s="32"/>
      <c r="V159" s="22"/>
      <c r="W159" s="24">
        <f t="shared" si="25"/>
        <v>1090923.5135076146</v>
      </c>
    </row>
    <row r="160" spans="1:25" ht="18" customHeight="1" x14ac:dyDescent="0.25">
      <c r="A160" s="21">
        <v>46181</v>
      </c>
      <c r="B160" s="23">
        <v>1127367.8958881327</v>
      </c>
      <c r="C160" s="23">
        <v>7212.8572307739869</v>
      </c>
      <c r="D160" s="25">
        <f t="shared" si="26"/>
        <v>156.29976579574677</v>
      </c>
      <c r="E160" s="23">
        <f t="shared" si="27"/>
        <v>1550.7643046164071</v>
      </c>
      <c r="F160" s="32">
        <v>0.215</v>
      </c>
      <c r="G160" s="23">
        <v>544405.79961047811</v>
      </c>
      <c r="H160" s="23">
        <v>6428.6015518399363</v>
      </c>
      <c r="I160" s="25">
        <f t="shared" si="28"/>
        <v>84.68494978579956</v>
      </c>
      <c r="J160" s="23">
        <f t="shared" si="29"/>
        <v>2025.0094888295801</v>
      </c>
      <c r="K160" s="32">
        <v>0.315</v>
      </c>
      <c r="L160" s="23">
        <v>510372.1130010279</v>
      </c>
      <c r="M160" s="23">
        <v>2913.0894079398281</v>
      </c>
      <c r="N160" s="25">
        <f t="shared" si="30"/>
        <v>175.19960479413132</v>
      </c>
      <c r="O160" s="23">
        <f t="shared" si="31"/>
        <v>626.31422270706298</v>
      </c>
      <c r="P160" s="32">
        <v>0.215</v>
      </c>
      <c r="Q160" s="23">
        <v>39504.363774562429</v>
      </c>
      <c r="R160" s="23">
        <v>359.94118879165597</v>
      </c>
      <c r="S160" s="25">
        <f t="shared" si="24"/>
        <v>109.75227343994982</v>
      </c>
      <c r="T160" s="24"/>
      <c r="U160" s="32"/>
      <c r="V160" s="22"/>
      <c r="W160" s="24">
        <f t="shared" si="25"/>
        <v>1637740.0088891606</v>
      </c>
    </row>
    <row r="161" spans="1:23" ht="18" customHeight="1" x14ac:dyDescent="0.25">
      <c r="A161" s="21">
        <v>46182</v>
      </c>
      <c r="B161" s="23">
        <v>1105776.9659260572</v>
      </c>
      <c r="C161" s="23">
        <v>7074.7192761062188</v>
      </c>
      <c r="D161" s="25">
        <f t="shared" si="26"/>
        <v>156.29976579574679</v>
      </c>
      <c r="E161" s="23">
        <f t="shared" si="27"/>
        <v>1521.064644362837</v>
      </c>
      <c r="F161" s="32">
        <v>0.215</v>
      </c>
      <c r="G161" s="23">
        <v>533979.54254460905</v>
      </c>
      <c r="H161" s="23">
        <v>6305.4833697752238</v>
      </c>
      <c r="I161" s="25">
        <f t="shared" si="28"/>
        <v>84.68494978579956</v>
      </c>
      <c r="J161" s="23">
        <f t="shared" si="29"/>
        <v>1986.2272614791955</v>
      </c>
      <c r="K161" s="32">
        <v>0.315</v>
      </c>
      <c r="L161" s="23">
        <v>500597.65642248507</v>
      </c>
      <c r="M161" s="23">
        <v>2857.299004816326</v>
      </c>
      <c r="N161" s="25">
        <f t="shared" si="30"/>
        <v>175.19960479413132</v>
      </c>
      <c r="O161" s="23">
        <f t="shared" si="31"/>
        <v>614.31928603551012</v>
      </c>
      <c r="P161" s="32">
        <v>0.215</v>
      </c>
      <c r="Q161" s="23">
        <v>38747.79091616912</v>
      </c>
      <c r="R161" s="23">
        <v>353.04772923332376</v>
      </c>
      <c r="S161" s="25">
        <f t="shared" si="24"/>
        <v>109.75227343994983</v>
      </c>
      <c r="T161" s="24"/>
      <c r="U161" s="32"/>
      <c r="V161" s="22"/>
      <c r="W161" s="24">
        <f t="shared" si="25"/>
        <v>1606374.6223485423</v>
      </c>
    </row>
    <row r="162" spans="1:23" ht="18" customHeight="1" x14ac:dyDescent="0.25">
      <c r="A162" s="21">
        <v>46183</v>
      </c>
      <c r="B162" s="23">
        <v>1070283.6731521378</v>
      </c>
      <c r="C162" s="23">
        <v>6847.6345290932122</v>
      </c>
      <c r="D162" s="25">
        <f t="shared" si="26"/>
        <v>156.29976579574677</v>
      </c>
      <c r="E162" s="23">
        <f t="shared" si="27"/>
        <v>1472.2414237550406</v>
      </c>
      <c r="F162" s="32">
        <v>0.215</v>
      </c>
      <c r="G162" s="23">
        <v>516839.83641684847</v>
      </c>
      <c r="H162" s="23">
        <v>6103.0896012117018</v>
      </c>
      <c r="I162" s="25">
        <f t="shared" si="28"/>
        <v>84.68494978579956</v>
      </c>
      <c r="J162" s="23">
        <f t="shared" si="29"/>
        <v>1922.4732243816861</v>
      </c>
      <c r="K162" s="32">
        <v>0.315</v>
      </c>
      <c r="L162" s="23">
        <v>484529.44399914064</v>
      </c>
      <c r="M162" s="23">
        <v>2765.5852567047054</v>
      </c>
      <c r="N162" s="25">
        <f t="shared" si="30"/>
        <v>175.19960479413132</v>
      </c>
      <c r="O162" s="23">
        <f t="shared" si="31"/>
        <v>594.6008301915117</v>
      </c>
      <c r="P162" s="32">
        <v>0.215</v>
      </c>
      <c r="Q162" s="23">
        <v>37504.062090457468</v>
      </c>
      <c r="R162" s="23">
        <v>341.71558287562533</v>
      </c>
      <c r="S162" s="25">
        <f t="shared" si="24"/>
        <v>109.75227343994983</v>
      </c>
      <c r="T162" s="24"/>
      <c r="U162" s="32"/>
      <c r="V162" s="22"/>
      <c r="W162" s="24">
        <f t="shared" si="25"/>
        <v>1554813.1171512785</v>
      </c>
    </row>
    <row r="163" spans="1:23" ht="18" customHeight="1" x14ac:dyDescent="0.25">
      <c r="A163" s="21">
        <v>46184</v>
      </c>
      <c r="B163" s="23">
        <v>1056517.2996818917</v>
      </c>
      <c r="C163" s="23">
        <v>6759.5577914208352</v>
      </c>
      <c r="D163" s="25">
        <f t="shared" si="26"/>
        <v>156.29976579574674</v>
      </c>
      <c r="E163" s="23">
        <f t="shared" si="27"/>
        <v>1453.3049251554796</v>
      </c>
      <c r="F163" s="32">
        <v>0.215</v>
      </c>
      <c r="G163" s="23">
        <v>510192.05658903846</v>
      </c>
      <c r="H163" s="23">
        <v>6024.5894681346344</v>
      </c>
      <c r="I163" s="25">
        <f t="shared" si="28"/>
        <v>84.684949785799574</v>
      </c>
      <c r="J163" s="23">
        <f t="shared" si="29"/>
        <v>1897.7456824624098</v>
      </c>
      <c r="K163" s="32">
        <v>0.315</v>
      </c>
      <c r="L163" s="23">
        <v>478297.25205718743</v>
      </c>
      <c r="M163" s="23">
        <v>2730.0133046487845</v>
      </c>
      <c r="N163" s="25">
        <f t="shared" si="30"/>
        <v>175.19960479413132</v>
      </c>
      <c r="O163" s="23">
        <f t="shared" si="31"/>
        <v>586.95286049948868</v>
      </c>
      <c r="P163" s="32">
        <v>0.215</v>
      </c>
      <c r="Q163" s="23">
        <v>37021.6713576642</v>
      </c>
      <c r="R163" s="23">
        <v>337.32031417026036</v>
      </c>
      <c r="S163" s="25">
        <f t="shared" si="24"/>
        <v>109.75227343994983</v>
      </c>
      <c r="T163" s="24"/>
      <c r="U163" s="32"/>
      <c r="V163" s="22"/>
      <c r="W163" s="24">
        <f t="shared" si="25"/>
        <v>1534814.5517390792</v>
      </c>
    </row>
    <row r="164" spans="1:23" ht="18" customHeight="1" x14ac:dyDescent="0.25">
      <c r="A164" s="21">
        <v>46185</v>
      </c>
      <c r="B164" s="23">
        <v>1057728.1727400534</v>
      </c>
      <c r="C164" s="23">
        <v>6767.3049115268495</v>
      </c>
      <c r="D164" s="25">
        <f t="shared" si="26"/>
        <v>156.29976579574677</v>
      </c>
      <c r="E164" s="23">
        <f t="shared" si="27"/>
        <v>1454.9705559782726</v>
      </c>
      <c r="F164" s="32">
        <v>0.215</v>
      </c>
      <c r="G164" s="23">
        <v>510776.78701985837</v>
      </c>
      <c r="H164" s="23">
        <v>6031.4942420324633</v>
      </c>
      <c r="I164" s="25">
        <f t="shared" si="28"/>
        <v>84.68494978579956</v>
      </c>
      <c r="J164" s="23">
        <f t="shared" si="29"/>
        <v>1899.9206862402259</v>
      </c>
      <c r="K164" s="32">
        <v>0.315</v>
      </c>
      <c r="L164" s="23">
        <v>478845.42789537122</v>
      </c>
      <c r="M164" s="23">
        <v>2733.1421692305735</v>
      </c>
      <c r="N164" s="25">
        <f t="shared" si="30"/>
        <v>175.19960479413132</v>
      </c>
      <c r="O164" s="23">
        <f t="shared" si="31"/>
        <v>587.62556638457329</v>
      </c>
      <c r="P164" s="32">
        <v>0.215</v>
      </c>
      <c r="Q164" s="23">
        <v>37064.101845483572</v>
      </c>
      <c r="R164" s="23">
        <v>337.70691652927746</v>
      </c>
      <c r="S164" s="25">
        <f t="shared" si="24"/>
        <v>109.75227343994983</v>
      </c>
      <c r="T164" s="24"/>
      <c r="U164" s="32"/>
      <c r="V164" s="22"/>
      <c r="W164" s="24">
        <f t="shared" si="25"/>
        <v>1536573.6006354247</v>
      </c>
    </row>
    <row r="165" spans="1:23" ht="18" customHeight="1" x14ac:dyDescent="0.25">
      <c r="A165" s="21">
        <v>46186</v>
      </c>
      <c r="B165" s="23">
        <v>900780.37640070589</v>
      </c>
      <c r="C165" s="23">
        <v>5763.1588365772068</v>
      </c>
      <c r="D165" s="25">
        <f t="shared" si="26"/>
        <v>156.29976579574677</v>
      </c>
      <c r="E165" s="23">
        <f t="shared" si="27"/>
        <v>1239.0791498640995</v>
      </c>
      <c r="F165" s="32">
        <v>0.215</v>
      </c>
      <c r="G165" s="23">
        <v>434986.71806822013</v>
      </c>
      <c r="H165" s="23">
        <v>5136.5292081824091</v>
      </c>
      <c r="I165" s="25">
        <f t="shared" si="28"/>
        <v>84.684949785799574</v>
      </c>
      <c r="J165" s="23">
        <f t="shared" si="29"/>
        <v>1618.0067005774588</v>
      </c>
      <c r="K165" s="32">
        <v>0.315</v>
      </c>
      <c r="L165" s="23">
        <v>407793.39710690873</v>
      </c>
      <c r="M165" s="23">
        <v>2327.5931334781676</v>
      </c>
      <c r="N165" s="25">
        <f t="shared" si="30"/>
        <v>175.19960479413132</v>
      </c>
      <c r="O165" s="23">
        <f t="shared" si="31"/>
        <v>500.432523697806</v>
      </c>
      <c r="P165" s="32">
        <v>0.215</v>
      </c>
      <c r="Q165" s="23">
        <v>31564.457175079766</v>
      </c>
      <c r="R165" s="23">
        <v>287.59729694665538</v>
      </c>
      <c r="S165" s="25">
        <f t="shared" si="24"/>
        <v>109.75227343994982</v>
      </c>
      <c r="T165" s="24"/>
      <c r="U165" s="32"/>
      <c r="V165" s="22"/>
      <c r="W165" s="24">
        <f t="shared" si="25"/>
        <v>1308573.7735076146</v>
      </c>
    </row>
    <row r="166" spans="1:23" ht="18" customHeight="1" x14ac:dyDescent="0.25">
      <c r="A166" s="21">
        <v>46187</v>
      </c>
      <c r="B166" s="23">
        <v>750956.89140070579</v>
      </c>
      <c r="C166" s="23">
        <v>4804.5938365772072</v>
      </c>
      <c r="D166" s="25">
        <f t="shared" si="26"/>
        <v>156.29976579574674</v>
      </c>
      <c r="E166" s="23">
        <f t="shared" si="27"/>
        <v>1032.9876748640995</v>
      </c>
      <c r="F166" s="32">
        <v>0.215</v>
      </c>
      <c r="G166" s="23">
        <v>362636.97806822008</v>
      </c>
      <c r="H166" s="23">
        <v>4282.1892081824089</v>
      </c>
      <c r="I166" s="25">
        <f t="shared" si="28"/>
        <v>84.68494978579956</v>
      </c>
      <c r="J166" s="23">
        <f t="shared" si="29"/>
        <v>1348.8896005774589</v>
      </c>
      <c r="K166" s="32">
        <v>0.315</v>
      </c>
      <c r="L166" s="23">
        <v>339966.62210690876</v>
      </c>
      <c r="M166" s="23">
        <v>1940.4531334781677</v>
      </c>
      <c r="N166" s="25">
        <f t="shared" si="30"/>
        <v>175.19960479413135</v>
      </c>
      <c r="O166" s="23">
        <f t="shared" si="31"/>
        <v>417.19742369780607</v>
      </c>
      <c r="P166" s="32">
        <v>0.215</v>
      </c>
      <c r="Q166" s="23">
        <v>26314.457175079766</v>
      </c>
      <c r="R166" s="23">
        <v>239.76229694665534</v>
      </c>
      <c r="S166" s="25">
        <f t="shared" si="24"/>
        <v>109.75227343994983</v>
      </c>
      <c r="T166" s="24"/>
      <c r="U166" s="32"/>
      <c r="V166" s="22"/>
      <c r="W166" s="24">
        <f t="shared" si="25"/>
        <v>1090923.5135076146</v>
      </c>
    </row>
    <row r="167" spans="1:23" ht="18" customHeight="1" x14ac:dyDescent="0.25">
      <c r="A167" s="21">
        <v>46188</v>
      </c>
      <c r="B167" s="23">
        <v>1064444.6068628624</v>
      </c>
      <c r="C167" s="23">
        <v>6810.2764034456932</v>
      </c>
      <c r="D167" s="25">
        <f t="shared" si="26"/>
        <v>156.29976579574677</v>
      </c>
      <c r="E167" s="23">
        <f t="shared" si="27"/>
        <v>1464.209426740824</v>
      </c>
      <c r="F167" s="32">
        <v>0.215</v>
      </c>
      <c r="G167" s="23">
        <v>514020.1521205458</v>
      </c>
      <c r="H167" s="23">
        <v>6069.7934334341371</v>
      </c>
      <c r="I167" s="25">
        <f t="shared" si="28"/>
        <v>84.68494978579956</v>
      </c>
      <c r="J167" s="23">
        <f t="shared" si="29"/>
        <v>1911.9849315317531</v>
      </c>
      <c r="K167" s="32">
        <v>0.315</v>
      </c>
      <c r="L167" s="23">
        <v>481886.03308520577</v>
      </c>
      <c r="M167" s="23">
        <v>2750.4972608325629</v>
      </c>
      <c r="N167" s="25">
        <f t="shared" si="30"/>
        <v>175.19960479413132</v>
      </c>
      <c r="O167" s="23">
        <f t="shared" si="31"/>
        <v>591.35691107900107</v>
      </c>
      <c r="P167" s="32">
        <v>0.215</v>
      </c>
      <c r="Q167" s="23">
        <v>37299.453994345597</v>
      </c>
      <c r="R167" s="23">
        <v>339.85131082276604</v>
      </c>
      <c r="S167" s="25">
        <f t="shared" si="24"/>
        <v>109.75227343994982</v>
      </c>
      <c r="T167" s="24"/>
      <c r="U167" s="32"/>
      <c r="V167" s="22"/>
      <c r="W167" s="24">
        <f t="shared" si="25"/>
        <v>1546330.6399480682</v>
      </c>
    </row>
    <row r="168" spans="1:23" ht="18" customHeight="1" x14ac:dyDescent="0.25">
      <c r="A168" s="21">
        <v>46189</v>
      </c>
      <c r="B168" s="23">
        <v>1061255.2843892206</v>
      </c>
      <c r="C168" s="23">
        <v>6789.8712386816605</v>
      </c>
      <c r="D168" s="25">
        <f t="shared" si="26"/>
        <v>156.29976579574679</v>
      </c>
      <c r="E168" s="23">
        <f t="shared" si="27"/>
        <v>1459.8223163165569</v>
      </c>
      <c r="F168" s="32">
        <v>0.215</v>
      </c>
      <c r="G168" s="23">
        <v>512480.02874306496</v>
      </c>
      <c r="H168" s="23">
        <v>6051.6069270788003</v>
      </c>
      <c r="I168" s="25">
        <f t="shared" si="28"/>
        <v>84.68494978579956</v>
      </c>
      <c r="J168" s="23">
        <f t="shared" si="29"/>
        <v>1906.2561820298222</v>
      </c>
      <c r="K168" s="32">
        <v>0.315</v>
      </c>
      <c r="L168" s="23">
        <v>480442.19096778234</v>
      </c>
      <c r="M168" s="23">
        <v>2742.2561342665526</v>
      </c>
      <c r="N168" s="25">
        <f t="shared" si="30"/>
        <v>175.19960479413132</v>
      </c>
      <c r="O168" s="23">
        <f t="shared" si="31"/>
        <v>589.58506886730879</v>
      </c>
      <c r="P168" s="32">
        <v>0.215</v>
      </c>
      <c r="Q168" s="23">
        <v>37187.696194915021</v>
      </c>
      <c r="R168" s="23">
        <v>338.83303761595431</v>
      </c>
      <c r="S168" s="25">
        <f t="shared" si="24"/>
        <v>109.75227343994982</v>
      </c>
      <c r="T168" s="24"/>
      <c r="U168" s="32"/>
      <c r="V168" s="22"/>
      <c r="W168" s="24">
        <f t="shared" si="25"/>
        <v>1541697.475357003</v>
      </c>
    </row>
    <row r="169" spans="1:23" ht="18" customHeight="1" x14ac:dyDescent="0.25">
      <c r="A169" s="21">
        <v>46190</v>
      </c>
      <c r="B169" s="23">
        <v>976966.44454746949</v>
      </c>
      <c r="C169" s="23">
        <v>6250.5944239492565</v>
      </c>
      <c r="D169" s="25">
        <f t="shared" si="26"/>
        <v>156.29976579574677</v>
      </c>
      <c r="E169" s="23">
        <f t="shared" si="27"/>
        <v>1343.8778011490901</v>
      </c>
      <c r="F169" s="32">
        <v>0.215</v>
      </c>
      <c r="G169" s="23">
        <v>471776.95974522177</v>
      </c>
      <c r="H169" s="23">
        <v>5570.9658084290668</v>
      </c>
      <c r="I169" s="25">
        <f t="shared" si="28"/>
        <v>84.68494978579956</v>
      </c>
      <c r="J169" s="23">
        <f t="shared" si="29"/>
        <v>1754.8542296551561</v>
      </c>
      <c r="K169" s="32">
        <v>0.315</v>
      </c>
      <c r="L169" s="23">
        <v>442283.68614487367</v>
      </c>
      <c r="M169" s="23">
        <v>2524.4559579034444</v>
      </c>
      <c r="N169" s="25">
        <f t="shared" si="30"/>
        <v>175.19960479413132</v>
      </c>
      <c r="O169" s="23">
        <f t="shared" si="31"/>
        <v>542.75803094924049</v>
      </c>
      <c r="P169" s="32">
        <v>0.215</v>
      </c>
      <c r="Q169" s="23">
        <v>34234.111119990397</v>
      </c>
      <c r="R169" s="23">
        <v>311.92165817614108</v>
      </c>
      <c r="S169" s="25">
        <f t="shared" si="24"/>
        <v>109.75227343994983</v>
      </c>
      <c r="T169" s="24"/>
      <c r="U169" s="32"/>
      <c r="V169" s="22"/>
      <c r="W169" s="24">
        <f t="shared" si="25"/>
        <v>1419250.1306923432</v>
      </c>
    </row>
    <row r="170" spans="1:23" ht="18" customHeight="1" x14ac:dyDescent="0.25">
      <c r="A170" s="21">
        <v>46191</v>
      </c>
      <c r="B170" s="23">
        <v>1015801.6722326427</v>
      </c>
      <c r="C170" s="23">
        <v>6499.0607443398021</v>
      </c>
      <c r="D170" s="25">
        <f t="shared" si="26"/>
        <v>156.29976579574677</v>
      </c>
      <c r="E170" s="23">
        <f t="shared" si="27"/>
        <v>1397.2980600330575</v>
      </c>
      <c r="F170" s="32">
        <v>0.215</v>
      </c>
      <c r="G170" s="23">
        <v>490530.48577529029</v>
      </c>
      <c r="H170" s="23">
        <v>5792.4163268210987</v>
      </c>
      <c r="I170" s="25">
        <f t="shared" si="28"/>
        <v>84.68494978579956</v>
      </c>
      <c r="J170" s="23">
        <f t="shared" si="29"/>
        <v>1824.6111429486461</v>
      </c>
      <c r="K170" s="32">
        <v>0.315</v>
      </c>
      <c r="L170" s="23">
        <v>459864.83005082415</v>
      </c>
      <c r="M170" s="23">
        <v>2624.8051791623006</v>
      </c>
      <c r="N170" s="25">
        <f t="shared" si="30"/>
        <v>175.19960479413132</v>
      </c>
      <c r="O170" s="23">
        <f t="shared" si="31"/>
        <v>564.3331135198946</v>
      </c>
      <c r="P170" s="32">
        <v>0.215</v>
      </c>
      <c r="Q170" s="23">
        <v>35594.945473477499</v>
      </c>
      <c r="R170" s="23">
        <v>324.32080318548498</v>
      </c>
      <c r="S170" s="25">
        <f t="shared" si="24"/>
        <v>109.75227343994983</v>
      </c>
      <c r="T170" s="24"/>
      <c r="U170" s="32"/>
      <c r="V170" s="22"/>
      <c r="W170" s="24">
        <f t="shared" si="25"/>
        <v>1475666.5022834667</v>
      </c>
    </row>
    <row r="171" spans="1:23" ht="18" customHeight="1" x14ac:dyDescent="0.25">
      <c r="A171" s="21">
        <v>46192</v>
      </c>
      <c r="B171" s="23">
        <v>1029519.624568547</v>
      </c>
      <c r="C171" s="23">
        <v>6586.8276854229453</v>
      </c>
      <c r="D171" s="25">
        <f t="shared" si="26"/>
        <v>156.29976579574677</v>
      </c>
      <c r="E171" s="23">
        <f t="shared" si="27"/>
        <v>1416.1679523659332</v>
      </c>
      <c r="F171" s="32">
        <v>0.215</v>
      </c>
      <c r="G171" s="23">
        <v>497154.88304408343</v>
      </c>
      <c r="H171" s="23">
        <v>5870.6403475656207</v>
      </c>
      <c r="I171" s="25">
        <f t="shared" si="28"/>
        <v>84.68494978579956</v>
      </c>
      <c r="J171" s="23">
        <f t="shared" si="29"/>
        <v>1849.2517094831705</v>
      </c>
      <c r="K171" s="32">
        <v>0.315</v>
      </c>
      <c r="L171" s="23">
        <v>466075.10120122565</v>
      </c>
      <c r="M171" s="23">
        <v>2660.2520122627457</v>
      </c>
      <c r="N171" s="25">
        <f t="shared" si="30"/>
        <v>175.19960479413132</v>
      </c>
      <c r="O171" s="23">
        <f t="shared" si="31"/>
        <v>571.95418263649026</v>
      </c>
      <c r="P171" s="32">
        <v>0.215</v>
      </c>
      <c r="Q171" s="23">
        <v>36075.639469906018</v>
      </c>
      <c r="R171" s="23">
        <v>328.70061219865795</v>
      </c>
      <c r="S171" s="25">
        <f t="shared" si="24"/>
        <v>109.75227343994983</v>
      </c>
      <c r="T171" s="24"/>
      <c r="U171" s="32"/>
      <c r="V171" s="22"/>
      <c r="W171" s="24">
        <f t="shared" si="25"/>
        <v>1495594.7257697727</v>
      </c>
    </row>
    <row r="172" spans="1:23" ht="18" customHeight="1" x14ac:dyDescent="0.25">
      <c r="A172" s="21">
        <v>46193</v>
      </c>
      <c r="B172" s="23">
        <v>900780.37640070589</v>
      </c>
      <c r="C172" s="23">
        <v>5763.1588365772068</v>
      </c>
      <c r="D172" s="25">
        <f t="shared" si="26"/>
        <v>156.29976579574677</v>
      </c>
      <c r="E172" s="23">
        <f t="shared" si="27"/>
        <v>1239.0791498640995</v>
      </c>
      <c r="F172" s="32">
        <v>0.215</v>
      </c>
      <c r="G172" s="23">
        <v>434986.71806822013</v>
      </c>
      <c r="H172" s="23">
        <v>5136.5292081824091</v>
      </c>
      <c r="I172" s="25">
        <f t="shared" si="28"/>
        <v>84.684949785799574</v>
      </c>
      <c r="J172" s="23">
        <f t="shared" si="29"/>
        <v>1618.0067005774588</v>
      </c>
      <c r="K172" s="32">
        <v>0.315</v>
      </c>
      <c r="L172" s="23">
        <v>407793.39710690873</v>
      </c>
      <c r="M172" s="23">
        <v>2327.5931334781676</v>
      </c>
      <c r="N172" s="25">
        <f t="shared" si="30"/>
        <v>175.19960479413132</v>
      </c>
      <c r="O172" s="23">
        <f t="shared" si="31"/>
        <v>500.432523697806</v>
      </c>
      <c r="P172" s="32">
        <v>0.215</v>
      </c>
      <c r="Q172" s="23">
        <v>31564.457175079766</v>
      </c>
      <c r="R172" s="23">
        <v>287.59729694665538</v>
      </c>
      <c r="S172" s="25">
        <f t="shared" si="24"/>
        <v>109.75227343994982</v>
      </c>
      <c r="T172" s="24"/>
      <c r="U172" s="32"/>
      <c r="V172" s="22"/>
      <c r="W172" s="24">
        <f t="shared" si="25"/>
        <v>1308573.7735076146</v>
      </c>
    </row>
    <row r="173" spans="1:23" ht="18" customHeight="1" x14ac:dyDescent="0.25">
      <c r="A173" s="21">
        <v>46194</v>
      </c>
      <c r="B173" s="23">
        <v>750956.89140070579</v>
      </c>
      <c r="C173" s="23">
        <v>4804.5938365772072</v>
      </c>
      <c r="D173" s="25">
        <f t="shared" si="26"/>
        <v>156.29976579574674</v>
      </c>
      <c r="E173" s="23">
        <f t="shared" si="27"/>
        <v>1032.9876748640995</v>
      </c>
      <c r="F173" s="32">
        <v>0.215</v>
      </c>
      <c r="G173" s="23">
        <v>362636.97806822008</v>
      </c>
      <c r="H173" s="23">
        <v>4282.1892081824089</v>
      </c>
      <c r="I173" s="25">
        <f t="shared" si="28"/>
        <v>84.68494978579956</v>
      </c>
      <c r="J173" s="23">
        <f t="shared" si="29"/>
        <v>1348.8896005774589</v>
      </c>
      <c r="K173" s="32">
        <v>0.315</v>
      </c>
      <c r="L173" s="23">
        <v>339966.62210690876</v>
      </c>
      <c r="M173" s="23">
        <v>1940.4531334781677</v>
      </c>
      <c r="N173" s="25">
        <f t="shared" si="30"/>
        <v>175.19960479413135</v>
      </c>
      <c r="O173" s="23">
        <f t="shared" si="31"/>
        <v>417.19742369780607</v>
      </c>
      <c r="P173" s="32">
        <v>0.215</v>
      </c>
      <c r="Q173" s="23">
        <v>26314.457175079766</v>
      </c>
      <c r="R173" s="23">
        <v>239.76229694665534</v>
      </c>
      <c r="S173" s="25">
        <f t="shared" si="24"/>
        <v>109.75227343994983</v>
      </c>
      <c r="T173" s="24"/>
      <c r="U173" s="32"/>
      <c r="V173" s="22"/>
      <c r="W173" s="24">
        <f t="shared" si="25"/>
        <v>1090923.5135076146</v>
      </c>
    </row>
    <row r="174" spans="1:23" ht="18" customHeight="1" x14ac:dyDescent="0.25">
      <c r="A174" s="21">
        <v>46195</v>
      </c>
      <c r="B174" s="23">
        <v>969965.58294094959</v>
      </c>
      <c r="C174" s="23">
        <v>6205.8031757290346</v>
      </c>
      <c r="D174" s="25">
        <f t="shared" si="26"/>
        <v>156.29976579574677</v>
      </c>
      <c r="E174" s="23">
        <f t="shared" si="27"/>
        <v>1334.2476827817425</v>
      </c>
      <c r="F174" s="32">
        <v>0.215</v>
      </c>
      <c r="G174" s="23">
        <v>468396.24465233961</v>
      </c>
      <c r="H174" s="23">
        <v>5531.0447232606484</v>
      </c>
      <c r="I174" s="25">
        <f t="shared" si="28"/>
        <v>84.68494978579956</v>
      </c>
      <c r="J174" s="23">
        <f t="shared" si="29"/>
        <v>1742.2790878271044</v>
      </c>
      <c r="K174" s="32">
        <v>0.315</v>
      </c>
      <c r="L174" s="23">
        <v>439114.31743748067</v>
      </c>
      <c r="M174" s="23">
        <v>2506.3659130593528</v>
      </c>
      <c r="N174" s="25">
        <f t="shared" si="30"/>
        <v>175.19960479413129</v>
      </c>
      <c r="O174" s="23">
        <f t="shared" si="31"/>
        <v>538.86867130776079</v>
      </c>
      <c r="P174" s="32">
        <v>0.215</v>
      </c>
      <c r="Q174" s="23">
        <v>33988.792280729453</v>
      </c>
      <c r="R174" s="23">
        <v>309.68645309498925</v>
      </c>
      <c r="S174" s="25">
        <f t="shared" si="24"/>
        <v>109.75227343994982</v>
      </c>
      <c r="T174" s="24"/>
      <c r="U174" s="32"/>
      <c r="V174" s="22"/>
      <c r="W174" s="24">
        <f t="shared" si="25"/>
        <v>1409079.9003784303</v>
      </c>
    </row>
    <row r="175" spans="1:23" ht="18" customHeight="1" x14ac:dyDescent="0.25">
      <c r="A175" s="21">
        <v>46196</v>
      </c>
      <c r="B175" s="23">
        <v>1011254.8247625193</v>
      </c>
      <c r="C175" s="23">
        <v>6469.9701859056631</v>
      </c>
      <c r="D175" s="25">
        <f t="shared" si="26"/>
        <v>156.29976579574677</v>
      </c>
      <c r="E175" s="23">
        <f t="shared" si="27"/>
        <v>1391.0435899697175</v>
      </c>
      <c r="F175" s="32">
        <v>0.215</v>
      </c>
      <c r="G175" s="23">
        <v>488334.81376643881</v>
      </c>
      <c r="H175" s="23">
        <v>5766.4887917111973</v>
      </c>
      <c r="I175" s="25">
        <f t="shared" si="28"/>
        <v>84.684949785799574</v>
      </c>
      <c r="J175" s="23">
        <f t="shared" si="29"/>
        <v>1816.4439693890272</v>
      </c>
      <c r="K175" s="32">
        <v>0.315</v>
      </c>
      <c r="L175" s="23">
        <v>457806.42111503298</v>
      </c>
      <c r="M175" s="23">
        <v>2613.0562432088782</v>
      </c>
      <c r="N175" s="25">
        <f t="shared" si="30"/>
        <v>175.19960479413132</v>
      </c>
      <c r="O175" s="23">
        <f t="shared" si="31"/>
        <v>561.80709228990884</v>
      </c>
      <c r="P175" s="32">
        <v>0.215</v>
      </c>
      <c r="Q175" s="23">
        <v>35435.618321141221</v>
      </c>
      <c r="R175" s="23">
        <v>322.86910521748382</v>
      </c>
      <c r="S175" s="25">
        <f t="shared" si="24"/>
        <v>109.75227343994985</v>
      </c>
      <c r="T175" s="24"/>
      <c r="U175" s="32"/>
      <c r="V175" s="22"/>
      <c r="W175" s="24">
        <f t="shared" si="25"/>
        <v>1469061.2458775523</v>
      </c>
    </row>
    <row r="176" spans="1:23" ht="18" customHeight="1" x14ac:dyDescent="0.25">
      <c r="A176" s="21">
        <v>46197</v>
      </c>
      <c r="B176" s="23">
        <v>1084627.182109186</v>
      </c>
      <c r="C176" s="23">
        <v>6939.4037578186872</v>
      </c>
      <c r="D176" s="25">
        <f t="shared" si="26"/>
        <v>156.29976579574679</v>
      </c>
      <c r="E176" s="23">
        <f t="shared" si="27"/>
        <v>1491.9718079310178</v>
      </c>
      <c r="F176" s="32">
        <v>0.215</v>
      </c>
      <c r="G176" s="23">
        <v>523766.31489070121</v>
      </c>
      <c r="H176" s="23">
        <v>6184.8807399131174</v>
      </c>
      <c r="I176" s="25">
        <f t="shared" si="28"/>
        <v>84.68494978579956</v>
      </c>
      <c r="J176" s="23">
        <f t="shared" si="29"/>
        <v>1948.237433072632</v>
      </c>
      <c r="K176" s="32">
        <v>0.315</v>
      </c>
      <c r="L176" s="23">
        <v>491022.91166037001</v>
      </c>
      <c r="M176" s="23">
        <v>2802.6485118921792</v>
      </c>
      <c r="N176" s="25">
        <f t="shared" si="30"/>
        <v>175.19960479413132</v>
      </c>
      <c r="O176" s="23">
        <f t="shared" si="31"/>
        <v>602.56943005681853</v>
      </c>
      <c r="P176" s="32">
        <v>0.215</v>
      </c>
      <c r="Q176" s="23">
        <v>38006.67636367707</v>
      </c>
      <c r="R176" s="23">
        <v>346.29511692504622</v>
      </c>
      <c r="S176" s="25">
        <f t="shared" si="24"/>
        <v>109.75227343994983</v>
      </c>
      <c r="T176" s="24"/>
      <c r="U176" s="32"/>
      <c r="V176" s="22"/>
      <c r="W176" s="24">
        <f t="shared" si="25"/>
        <v>1575650.0937695559</v>
      </c>
    </row>
    <row r="177" spans="1:23" ht="18" customHeight="1" x14ac:dyDescent="0.25">
      <c r="A177" s="21">
        <v>46198</v>
      </c>
      <c r="B177" s="23">
        <v>1048834.9855453097</v>
      </c>
      <c r="C177" s="23">
        <v>6710.406635643536</v>
      </c>
      <c r="D177" s="25">
        <f t="shared" si="26"/>
        <v>156.29976579574677</v>
      </c>
      <c r="E177" s="23">
        <f t="shared" si="27"/>
        <v>1442.7374266633601</v>
      </c>
      <c r="F177" s="32">
        <v>0.215</v>
      </c>
      <c r="G177" s="23">
        <v>506482.26816447981</v>
      </c>
      <c r="H177" s="23">
        <v>5980.782529192802</v>
      </c>
      <c r="I177" s="25">
        <f t="shared" si="28"/>
        <v>84.684949785799574</v>
      </c>
      <c r="J177" s="23">
        <f t="shared" si="29"/>
        <v>1883.9464966957325</v>
      </c>
      <c r="K177" s="32">
        <v>0.315</v>
      </c>
      <c r="L177" s="23">
        <v>474819.38213298115</v>
      </c>
      <c r="M177" s="23">
        <v>2710.162404138518</v>
      </c>
      <c r="N177" s="25">
        <f t="shared" si="30"/>
        <v>175.19960479413132</v>
      </c>
      <c r="O177" s="23">
        <f t="shared" si="31"/>
        <v>582.68491688978133</v>
      </c>
      <c r="P177" s="32">
        <v>0.215</v>
      </c>
      <c r="Q177" s="23">
        <v>36752.473579912228</v>
      </c>
      <c r="R177" s="23">
        <v>334.86753784668599</v>
      </c>
      <c r="S177" s="25">
        <f t="shared" si="24"/>
        <v>109.75227343994983</v>
      </c>
      <c r="T177" s="24"/>
      <c r="U177" s="32"/>
      <c r="V177" s="22"/>
      <c r="W177" s="24">
        <f t="shared" si="25"/>
        <v>1523654.3676782909</v>
      </c>
    </row>
    <row r="178" spans="1:23" ht="18" customHeight="1" x14ac:dyDescent="0.25">
      <c r="A178" s="21">
        <v>46199</v>
      </c>
      <c r="B178" s="23">
        <v>1024263.3106756349</v>
      </c>
      <c r="C178" s="23">
        <v>6553.1979876038122</v>
      </c>
      <c r="D178" s="25">
        <f t="shared" si="26"/>
        <v>156.29976579574677</v>
      </c>
      <c r="E178" s="23">
        <f t="shared" si="27"/>
        <v>1408.9375673348195</v>
      </c>
      <c r="F178" s="32">
        <v>0.215</v>
      </c>
      <c r="G178" s="23">
        <v>494616.60979866679</v>
      </c>
      <c r="H178" s="23">
        <v>5840.6672147735844</v>
      </c>
      <c r="I178" s="25">
        <f t="shared" si="28"/>
        <v>84.68494978579956</v>
      </c>
      <c r="J178" s="23">
        <f t="shared" si="29"/>
        <v>1839.810172653679</v>
      </c>
      <c r="K178" s="32">
        <v>0.315</v>
      </c>
      <c r="L178" s="23">
        <v>463695.50884463399</v>
      </c>
      <c r="M178" s="23">
        <v>2646.6698334708026</v>
      </c>
      <c r="N178" s="25">
        <f t="shared" si="30"/>
        <v>175.19960479413132</v>
      </c>
      <c r="O178" s="23">
        <f t="shared" si="31"/>
        <v>569.03401419622253</v>
      </c>
      <c r="P178" s="32">
        <v>0.215</v>
      </c>
      <c r="Q178" s="23">
        <v>35891.451737670388</v>
      </c>
      <c r="R178" s="23">
        <v>327.02239883265963</v>
      </c>
      <c r="S178" s="25">
        <f t="shared" si="24"/>
        <v>109.75227343994982</v>
      </c>
      <c r="T178" s="24"/>
      <c r="U178" s="32"/>
      <c r="V178" s="22"/>
      <c r="W178" s="24">
        <f t="shared" si="25"/>
        <v>1487958.8195202688</v>
      </c>
    </row>
    <row r="179" spans="1:23" ht="18" customHeight="1" x14ac:dyDescent="0.25">
      <c r="A179" s="21">
        <v>46200</v>
      </c>
      <c r="B179" s="23">
        <v>900780.37640070589</v>
      </c>
      <c r="C179" s="23">
        <v>5763.1588365772068</v>
      </c>
      <c r="D179" s="25">
        <f t="shared" si="26"/>
        <v>156.29976579574677</v>
      </c>
      <c r="E179" s="23">
        <f t="shared" si="27"/>
        <v>1239.0791498640995</v>
      </c>
      <c r="F179" s="32">
        <v>0.215</v>
      </c>
      <c r="G179" s="23">
        <v>434986.71806822013</v>
      </c>
      <c r="H179" s="23">
        <v>5136.5292081824091</v>
      </c>
      <c r="I179" s="25">
        <f t="shared" si="28"/>
        <v>84.684949785799574</v>
      </c>
      <c r="J179" s="23">
        <f t="shared" si="29"/>
        <v>1618.0067005774588</v>
      </c>
      <c r="K179" s="32">
        <v>0.315</v>
      </c>
      <c r="L179" s="23">
        <v>407793.39710690873</v>
      </c>
      <c r="M179" s="23">
        <v>2327.5931334781676</v>
      </c>
      <c r="N179" s="25">
        <f t="shared" si="30"/>
        <v>175.19960479413132</v>
      </c>
      <c r="O179" s="23">
        <f t="shared" si="31"/>
        <v>500.432523697806</v>
      </c>
      <c r="P179" s="32">
        <v>0.215</v>
      </c>
      <c r="Q179" s="23">
        <v>31564.457175079766</v>
      </c>
      <c r="R179" s="23">
        <v>287.59729694665538</v>
      </c>
      <c r="S179" s="25">
        <f t="shared" si="24"/>
        <v>109.75227343994982</v>
      </c>
      <c r="T179" s="24"/>
      <c r="U179" s="32"/>
      <c r="V179" s="22"/>
      <c r="W179" s="24">
        <f t="shared" si="25"/>
        <v>1308573.7735076146</v>
      </c>
    </row>
    <row r="180" spans="1:23" ht="18" customHeight="1" x14ac:dyDescent="0.25">
      <c r="A180" s="21">
        <v>46201</v>
      </c>
      <c r="B180" s="23">
        <v>750956.89140070579</v>
      </c>
      <c r="C180" s="23">
        <v>4804.5938365772072</v>
      </c>
      <c r="D180" s="25">
        <f t="shared" si="26"/>
        <v>156.29976579574674</v>
      </c>
      <c r="E180" s="23">
        <f t="shared" si="27"/>
        <v>1032.9876748640995</v>
      </c>
      <c r="F180" s="32">
        <v>0.215</v>
      </c>
      <c r="G180" s="23">
        <v>362636.97806822008</v>
      </c>
      <c r="H180" s="23">
        <v>4282.1892081824089</v>
      </c>
      <c r="I180" s="25">
        <f t="shared" si="28"/>
        <v>84.68494978579956</v>
      </c>
      <c r="J180" s="23">
        <f t="shared" si="29"/>
        <v>1348.8896005774589</v>
      </c>
      <c r="K180" s="32">
        <v>0.315</v>
      </c>
      <c r="L180" s="23">
        <v>339966.62210690876</v>
      </c>
      <c r="M180" s="23">
        <v>1940.4531334781677</v>
      </c>
      <c r="N180" s="25">
        <f t="shared" si="30"/>
        <v>175.19960479413135</v>
      </c>
      <c r="O180" s="23">
        <f t="shared" si="31"/>
        <v>417.19742369780607</v>
      </c>
      <c r="P180" s="32">
        <v>0.215</v>
      </c>
      <c r="Q180" s="23">
        <v>26314.457175079766</v>
      </c>
      <c r="R180" s="23">
        <v>239.76229694665534</v>
      </c>
      <c r="S180" s="25">
        <f t="shared" si="24"/>
        <v>109.75227343994983</v>
      </c>
      <c r="T180" s="24"/>
      <c r="U180" s="32"/>
      <c r="V180" s="22"/>
      <c r="W180" s="24">
        <f t="shared" si="25"/>
        <v>1090923.5135076146</v>
      </c>
    </row>
    <row r="181" spans="1:23" ht="18" customHeight="1" x14ac:dyDescent="0.25">
      <c r="A181" s="21">
        <v>46202</v>
      </c>
      <c r="B181" s="23">
        <v>1025736.6623794732</v>
      </c>
      <c r="C181" s="23">
        <v>6562.6244361742065</v>
      </c>
      <c r="D181" s="25">
        <f t="shared" si="26"/>
        <v>156.29976579574677</v>
      </c>
      <c r="E181" s="23">
        <f t="shared" si="27"/>
        <v>1410.9642537774544</v>
      </c>
      <c r="F181" s="32">
        <v>0.215</v>
      </c>
      <c r="G181" s="23">
        <v>495328.09113085753</v>
      </c>
      <c r="H181" s="23">
        <v>5849.0687233532117</v>
      </c>
      <c r="I181" s="25">
        <f t="shared" si="28"/>
        <v>84.684949785799574</v>
      </c>
      <c r="J181" s="23">
        <f t="shared" si="29"/>
        <v>1842.4566478562617</v>
      </c>
      <c r="K181" s="32">
        <v>0.315</v>
      </c>
      <c r="L181" s="23">
        <v>464362.51171479217</v>
      </c>
      <c r="M181" s="23">
        <v>2650.4769360663931</v>
      </c>
      <c r="N181" s="25">
        <f t="shared" si="30"/>
        <v>175.19960479413132</v>
      </c>
      <c r="O181" s="23">
        <f t="shared" si="31"/>
        <v>569.85254125427457</v>
      </c>
      <c r="P181" s="32">
        <v>0.215</v>
      </c>
      <c r="Q181" s="23">
        <v>35943.079801489293</v>
      </c>
      <c r="R181" s="23">
        <v>327.49280424842675</v>
      </c>
      <c r="S181" s="25">
        <f t="shared" si="24"/>
        <v>109.75227343994982</v>
      </c>
      <c r="T181" s="24"/>
      <c r="U181" s="32"/>
      <c r="V181" s="22"/>
      <c r="W181" s="24">
        <f t="shared" si="25"/>
        <v>1490099.1740942653</v>
      </c>
    </row>
    <row r="182" spans="1:23" ht="18" customHeight="1" x14ac:dyDescent="0.25">
      <c r="A182" s="21">
        <v>46203</v>
      </c>
      <c r="B182" s="23">
        <v>1059833.7243012965</v>
      </c>
      <c r="C182" s="23">
        <v>6780.7761509143402</v>
      </c>
      <c r="D182" s="25">
        <f t="shared" si="26"/>
        <v>156.29976579574677</v>
      </c>
      <c r="E182" s="23">
        <f t="shared" si="27"/>
        <v>1457.8668724465831</v>
      </c>
      <c r="F182" s="32">
        <v>0.215</v>
      </c>
      <c r="G182" s="23">
        <v>511793.55757497228</v>
      </c>
      <c r="H182" s="23">
        <v>6043.5007503634679</v>
      </c>
      <c r="I182" s="25">
        <f t="shared" si="28"/>
        <v>84.68494978579956</v>
      </c>
      <c r="J182" s="23">
        <f t="shared" si="29"/>
        <v>1903.7027363644925</v>
      </c>
      <c r="K182" s="32">
        <v>0.315</v>
      </c>
      <c r="L182" s="23">
        <v>479798.63474405283</v>
      </c>
      <c r="M182" s="23">
        <v>2738.5828598634184</v>
      </c>
      <c r="N182" s="25">
        <f t="shared" si="30"/>
        <v>175.19960479413132</v>
      </c>
      <c r="O182" s="23">
        <f t="shared" si="31"/>
        <v>588.79531487063491</v>
      </c>
      <c r="P182" s="32">
        <v>0.215</v>
      </c>
      <c r="Q182" s="23">
        <v>37137.882973298925</v>
      </c>
      <c r="R182" s="23">
        <v>338.37916800528649</v>
      </c>
      <c r="S182" s="25">
        <f t="shared" si="24"/>
        <v>109.75227343994983</v>
      </c>
      <c r="T182" s="24"/>
      <c r="U182" s="32"/>
      <c r="V182" s="22"/>
      <c r="W182" s="24">
        <f t="shared" si="25"/>
        <v>1539632.3590453493</v>
      </c>
    </row>
    <row r="183" spans="1:23" ht="18" customHeight="1" x14ac:dyDescent="0.25">
      <c r="A183" s="21">
        <v>46204</v>
      </c>
      <c r="B183" s="23">
        <v>903715.01884580532</v>
      </c>
      <c r="C183" s="23">
        <v>5973.0007854977212</v>
      </c>
      <c r="D183" s="25">
        <f t="shared" ref="D183:D246" si="32">B183/C183</f>
        <v>151.30000000000001</v>
      </c>
      <c r="E183" s="23">
        <f t="shared" ref="E183:E246" si="33">F183*C183</f>
        <v>1284.19516888201</v>
      </c>
      <c r="F183" s="32">
        <v>0.215</v>
      </c>
      <c r="G183" s="23">
        <v>523866.31816496479</v>
      </c>
      <c r="H183" s="23">
        <v>6333.4508995767246</v>
      </c>
      <c r="I183" s="25">
        <f t="shared" ref="I183:I244" si="34">IFERROR(G183/H183,0)</f>
        <v>82.714199015891268</v>
      </c>
      <c r="J183" s="23">
        <f t="shared" ref="J183:J246" si="35">K183*H183</f>
        <v>1995.0370333666683</v>
      </c>
      <c r="K183" s="32">
        <v>0.315</v>
      </c>
      <c r="L183" s="23">
        <v>582353.14653017581</v>
      </c>
      <c r="M183" s="23">
        <v>3369.5152603050064</v>
      </c>
      <c r="N183" s="25">
        <f t="shared" ref="N183:N244" si="36">L183/M183</f>
        <v>172.82994779417072</v>
      </c>
      <c r="O183" s="23">
        <f t="shared" ref="O183:O246" si="37">P183*M183</f>
        <v>724.44578096557643</v>
      </c>
      <c r="P183" s="32">
        <v>0.215</v>
      </c>
      <c r="Q183" s="23">
        <v>37969.354838709674</v>
      </c>
      <c r="R183" s="23">
        <v>331.04013925902831</v>
      </c>
      <c r="S183" s="25">
        <f t="shared" si="24"/>
        <v>114.69713287245771</v>
      </c>
      <c r="T183" s="24"/>
      <c r="U183" s="32"/>
      <c r="V183" s="22"/>
      <c r="W183" s="24">
        <f t="shared" si="25"/>
        <v>1486068.165375981</v>
      </c>
    </row>
    <row r="184" spans="1:23" ht="18" customHeight="1" x14ac:dyDescent="0.25">
      <c r="A184" s="21">
        <v>46205</v>
      </c>
      <c r="B184" s="23">
        <v>891219.40529352182</v>
      </c>
      <c r="C184" s="23">
        <v>5890.4124606313399</v>
      </c>
      <c r="D184" s="25">
        <f t="shared" si="32"/>
        <v>151.30000000000001</v>
      </c>
      <c r="E184" s="23">
        <f t="shared" si="33"/>
        <v>1266.438679035738</v>
      </c>
      <c r="F184" s="32">
        <v>0.215</v>
      </c>
      <c r="G184" s="23">
        <v>516622.84989417368</v>
      </c>
      <c r="H184" s="23">
        <v>6245.8786525263786</v>
      </c>
      <c r="I184" s="25">
        <f t="shared" si="34"/>
        <v>82.714199015891268</v>
      </c>
      <c r="J184" s="23">
        <f t="shared" si="35"/>
        <v>1967.4517755458094</v>
      </c>
      <c r="K184" s="32">
        <v>0.315</v>
      </c>
      <c r="L184" s="23">
        <v>574300.98437922343</v>
      </c>
      <c r="M184" s="23">
        <v>3322.9251741901744</v>
      </c>
      <c r="N184" s="25">
        <f t="shared" si="36"/>
        <v>172.82994779417069</v>
      </c>
      <c r="O184" s="23">
        <f t="shared" si="37"/>
        <v>714.42891245088754</v>
      </c>
      <c r="P184" s="32">
        <v>0.215</v>
      </c>
      <c r="Q184" s="23">
        <v>37444.354838709682</v>
      </c>
      <c r="R184" s="23">
        <v>326.46286703912205</v>
      </c>
      <c r="S184" s="25">
        <f t="shared" si="24"/>
        <v>114.69713287245773</v>
      </c>
      <c r="T184" s="24"/>
      <c r="U184" s="32"/>
      <c r="V184" s="22"/>
      <c r="W184" s="24">
        <f t="shared" si="25"/>
        <v>1465520.3896727453</v>
      </c>
    </row>
    <row r="185" spans="1:23" ht="18" customHeight="1" x14ac:dyDescent="0.25">
      <c r="A185" s="21">
        <v>46206</v>
      </c>
      <c r="B185" s="23">
        <v>841236.95108438714</v>
      </c>
      <c r="C185" s="23">
        <v>5560.0591611658101</v>
      </c>
      <c r="D185" s="25">
        <f t="shared" si="32"/>
        <v>151.30000000000001</v>
      </c>
      <c r="E185" s="23">
        <f t="shared" si="33"/>
        <v>1195.4127196506493</v>
      </c>
      <c r="F185" s="32">
        <v>0.215</v>
      </c>
      <c r="G185" s="23">
        <v>487648.97681100876</v>
      </c>
      <c r="H185" s="23">
        <v>5895.5896643249898</v>
      </c>
      <c r="I185" s="25">
        <f t="shared" si="34"/>
        <v>82.714199015891268</v>
      </c>
      <c r="J185" s="23">
        <f t="shared" si="35"/>
        <v>1857.1107442623718</v>
      </c>
      <c r="K185" s="32">
        <v>0.315</v>
      </c>
      <c r="L185" s="23">
        <v>542092.33577541355</v>
      </c>
      <c r="M185" s="23">
        <v>3136.5648297308426</v>
      </c>
      <c r="N185" s="25">
        <f t="shared" si="36"/>
        <v>172.82994779417075</v>
      </c>
      <c r="O185" s="23">
        <f t="shared" si="37"/>
        <v>674.36143839213116</v>
      </c>
      <c r="P185" s="32">
        <v>0.215</v>
      </c>
      <c r="Q185" s="23">
        <v>35344.354838709682</v>
      </c>
      <c r="R185" s="23">
        <v>308.15377815949694</v>
      </c>
      <c r="S185" s="25">
        <f t="shared" si="24"/>
        <v>114.69713287245773</v>
      </c>
      <c r="T185" s="24"/>
      <c r="U185" s="32"/>
      <c r="V185" s="22"/>
      <c r="W185" s="24">
        <f t="shared" si="25"/>
        <v>1383329.2868598006</v>
      </c>
    </row>
    <row r="186" spans="1:23" ht="18" customHeight="1" x14ac:dyDescent="0.25">
      <c r="A186" s="21">
        <v>46207</v>
      </c>
      <c r="B186" s="23">
        <v>706284.32471972366</v>
      </c>
      <c r="C186" s="23">
        <v>4668.1052526088806</v>
      </c>
      <c r="D186" s="25">
        <f t="shared" si="32"/>
        <v>151.30000000000001</v>
      </c>
      <c r="E186" s="23">
        <f t="shared" si="33"/>
        <v>1003.6426293109093</v>
      </c>
      <c r="F186" s="32">
        <v>0.215</v>
      </c>
      <c r="G186" s="23">
        <v>409419.51948646363</v>
      </c>
      <c r="H186" s="23">
        <v>4949.8093961812392</v>
      </c>
      <c r="I186" s="25">
        <f t="shared" si="34"/>
        <v>82.714199015891268</v>
      </c>
      <c r="J186" s="23">
        <f t="shared" si="35"/>
        <v>1559.1899597970903</v>
      </c>
      <c r="K186" s="32">
        <v>0.315</v>
      </c>
      <c r="L186" s="23">
        <v>455128.98454512685</v>
      </c>
      <c r="M186" s="23">
        <v>2633.3918996906482</v>
      </c>
      <c r="N186" s="25">
        <f t="shared" si="36"/>
        <v>172.82994779417075</v>
      </c>
      <c r="O186" s="23">
        <f t="shared" si="37"/>
        <v>566.17925843348939</v>
      </c>
      <c r="P186" s="32">
        <v>0.215</v>
      </c>
      <c r="Q186" s="23">
        <v>29674.354838709682</v>
      </c>
      <c r="R186" s="23">
        <v>258.71923818450915</v>
      </c>
      <c r="S186" s="25">
        <f t="shared" si="24"/>
        <v>114.69713287245771</v>
      </c>
      <c r="T186" s="24"/>
      <c r="U186" s="32"/>
      <c r="V186" s="22"/>
      <c r="W186" s="24">
        <f t="shared" si="25"/>
        <v>1161413.3092648506</v>
      </c>
    </row>
    <row r="187" spans="1:23" ht="18" customHeight="1" x14ac:dyDescent="0.25">
      <c r="A187" s="21">
        <v>46208</v>
      </c>
      <c r="B187" s="23">
        <v>651303.62508967554</v>
      </c>
      <c r="C187" s="23">
        <v>4304.7166231967976</v>
      </c>
      <c r="D187" s="25">
        <f t="shared" si="32"/>
        <v>151.30000000000001</v>
      </c>
      <c r="E187" s="23">
        <f t="shared" si="33"/>
        <v>925.51407398731146</v>
      </c>
      <c r="F187" s="32">
        <v>0.215</v>
      </c>
      <c r="G187" s="23">
        <v>377548.25909498229</v>
      </c>
      <c r="H187" s="23">
        <v>4564.4915091597113</v>
      </c>
      <c r="I187" s="25">
        <f t="shared" si="34"/>
        <v>82.714199015891282</v>
      </c>
      <c r="J187" s="23">
        <f t="shared" si="35"/>
        <v>1437.8148253853092</v>
      </c>
      <c r="K187" s="32">
        <v>0.315</v>
      </c>
      <c r="L187" s="23">
        <v>419699.47108093591</v>
      </c>
      <c r="M187" s="23">
        <v>2428.3955207853837</v>
      </c>
      <c r="N187" s="25">
        <f t="shared" si="36"/>
        <v>172.82994779417072</v>
      </c>
      <c r="O187" s="23">
        <f t="shared" si="37"/>
        <v>522.10503696885746</v>
      </c>
      <c r="P187" s="32">
        <v>0.215</v>
      </c>
      <c r="Q187" s="23">
        <v>27364.354838709678</v>
      </c>
      <c r="R187" s="23">
        <v>238.57924041692149</v>
      </c>
      <c r="S187" s="25">
        <f t="shared" si="24"/>
        <v>114.69713287245771</v>
      </c>
      <c r="T187" s="24"/>
      <c r="U187" s="32"/>
      <c r="V187" s="22"/>
      <c r="W187" s="24">
        <f t="shared" si="25"/>
        <v>1071003.0961706114</v>
      </c>
    </row>
    <row r="188" spans="1:23" ht="18" customHeight="1" x14ac:dyDescent="0.25">
      <c r="A188" s="21">
        <v>46209</v>
      </c>
      <c r="B188" s="23">
        <v>928706.24595037266</v>
      </c>
      <c r="C188" s="23">
        <v>6138.1774352304865</v>
      </c>
      <c r="D188" s="25">
        <f t="shared" si="32"/>
        <v>151.30000000000001</v>
      </c>
      <c r="E188" s="23">
        <f t="shared" si="33"/>
        <v>1319.7081485745546</v>
      </c>
      <c r="F188" s="32">
        <v>0.215</v>
      </c>
      <c r="G188" s="23">
        <v>538353.25470654725</v>
      </c>
      <c r="H188" s="23">
        <v>6508.5953936774195</v>
      </c>
      <c r="I188" s="25">
        <f t="shared" si="34"/>
        <v>82.714199015891268</v>
      </c>
      <c r="J188" s="23">
        <f t="shared" si="35"/>
        <v>2050.2075490083871</v>
      </c>
      <c r="K188" s="32">
        <v>0.315</v>
      </c>
      <c r="L188" s="23">
        <v>598457.47083208081</v>
      </c>
      <c r="M188" s="23">
        <v>3462.6954325346724</v>
      </c>
      <c r="N188" s="25">
        <f t="shared" si="36"/>
        <v>172.82994779417072</v>
      </c>
      <c r="O188" s="23">
        <f t="shared" si="37"/>
        <v>744.47951799495456</v>
      </c>
      <c r="P188" s="32">
        <v>0.215</v>
      </c>
      <c r="Q188" s="23">
        <v>39019.354838709674</v>
      </c>
      <c r="R188" s="23">
        <v>340.19468369884083</v>
      </c>
      <c r="S188" s="25">
        <f t="shared" si="24"/>
        <v>114.69713287245773</v>
      </c>
      <c r="T188" s="24"/>
      <c r="U188" s="32"/>
      <c r="V188" s="22"/>
      <c r="W188" s="24">
        <f t="shared" si="25"/>
        <v>1527163.7167824535</v>
      </c>
    </row>
    <row r="189" spans="1:23" ht="18" customHeight="1" x14ac:dyDescent="0.25">
      <c r="A189" s="21">
        <v>46210</v>
      </c>
      <c r="B189" s="23">
        <v>1041166.7679209257</v>
      </c>
      <c r="C189" s="23">
        <v>6881.4723590279291</v>
      </c>
      <c r="D189" s="25">
        <f t="shared" si="32"/>
        <v>151.30000000000001</v>
      </c>
      <c r="E189" s="23">
        <f t="shared" si="33"/>
        <v>1479.5165571910047</v>
      </c>
      <c r="F189" s="32">
        <v>0.215</v>
      </c>
      <c r="G189" s="23">
        <v>603544.46914366831</v>
      </c>
      <c r="H189" s="23">
        <v>7296.7456171305448</v>
      </c>
      <c r="I189" s="25">
        <f t="shared" si="34"/>
        <v>82.714199015891282</v>
      </c>
      <c r="J189" s="23">
        <f t="shared" si="35"/>
        <v>2298.4748693961214</v>
      </c>
      <c r="K189" s="32">
        <v>0.315</v>
      </c>
      <c r="L189" s="23">
        <v>670926.93019065319</v>
      </c>
      <c r="M189" s="23">
        <v>3882.0062075681681</v>
      </c>
      <c r="N189" s="25">
        <f t="shared" si="36"/>
        <v>172.82994779417072</v>
      </c>
      <c r="O189" s="23">
        <f t="shared" si="37"/>
        <v>834.63133462715609</v>
      </c>
      <c r="P189" s="32">
        <v>0.215</v>
      </c>
      <c r="Q189" s="23">
        <v>43744.354838709682</v>
      </c>
      <c r="R189" s="23">
        <v>381.39013367799743</v>
      </c>
      <c r="S189" s="25">
        <f t="shared" si="24"/>
        <v>114.69713287245771</v>
      </c>
      <c r="T189" s="24"/>
      <c r="U189" s="32"/>
      <c r="V189" s="22"/>
      <c r="W189" s="24">
        <f t="shared" si="25"/>
        <v>1712093.6981115788</v>
      </c>
    </row>
    <row r="190" spans="1:23" ht="18" customHeight="1" x14ac:dyDescent="0.25">
      <c r="A190" s="21">
        <v>46211</v>
      </c>
      <c r="B190" s="23">
        <v>966193.08660722373</v>
      </c>
      <c r="C190" s="23">
        <v>6385.942409829634</v>
      </c>
      <c r="D190" s="25">
        <f t="shared" si="32"/>
        <v>151.30000000000001</v>
      </c>
      <c r="E190" s="23">
        <f t="shared" si="33"/>
        <v>1372.9776181133714</v>
      </c>
      <c r="F190" s="32">
        <v>0.215</v>
      </c>
      <c r="G190" s="23">
        <v>560083.65951892093</v>
      </c>
      <c r="H190" s="23">
        <v>6771.3121348284612</v>
      </c>
      <c r="I190" s="25">
        <f t="shared" si="34"/>
        <v>82.714199015891268</v>
      </c>
      <c r="J190" s="23">
        <f t="shared" si="35"/>
        <v>2132.9633224709655</v>
      </c>
      <c r="K190" s="32">
        <v>0.315</v>
      </c>
      <c r="L190" s="23">
        <v>622613.95728493831</v>
      </c>
      <c r="M190" s="23">
        <v>3602.4656908791708</v>
      </c>
      <c r="N190" s="25">
        <f t="shared" si="36"/>
        <v>172.82994779417075</v>
      </c>
      <c r="O190" s="23">
        <f t="shared" si="37"/>
        <v>774.5301235390217</v>
      </c>
      <c r="P190" s="32">
        <v>0.215</v>
      </c>
      <c r="Q190" s="23">
        <v>40594.354838709674</v>
      </c>
      <c r="R190" s="23">
        <v>353.92650035855968</v>
      </c>
      <c r="S190" s="25">
        <f t="shared" si="24"/>
        <v>114.69713287245771</v>
      </c>
      <c r="T190" s="24"/>
      <c r="U190" s="32"/>
      <c r="V190" s="22"/>
      <c r="W190" s="24">
        <f t="shared" si="25"/>
        <v>1588807.0438921619</v>
      </c>
    </row>
    <row r="191" spans="1:23" ht="18" customHeight="1" x14ac:dyDescent="0.25">
      <c r="A191" s="21">
        <v>46212</v>
      </c>
      <c r="B191" s="23">
        <v>916210.63239808904</v>
      </c>
      <c r="C191" s="23">
        <v>6055.5891103641043</v>
      </c>
      <c r="D191" s="25">
        <f t="shared" si="32"/>
        <v>151.30000000000001</v>
      </c>
      <c r="E191" s="23">
        <f t="shared" si="33"/>
        <v>1301.9516587282824</v>
      </c>
      <c r="F191" s="32">
        <v>0.215</v>
      </c>
      <c r="G191" s="23">
        <v>531109.78643575602</v>
      </c>
      <c r="H191" s="23">
        <v>6421.0231466270716</v>
      </c>
      <c r="I191" s="25">
        <f t="shared" si="34"/>
        <v>82.714199015891268</v>
      </c>
      <c r="J191" s="23">
        <f t="shared" si="35"/>
        <v>2022.6222911875275</v>
      </c>
      <c r="K191" s="32">
        <v>0.315</v>
      </c>
      <c r="L191" s="23">
        <v>590405.30868112831</v>
      </c>
      <c r="M191" s="23">
        <v>3416.1053464198394</v>
      </c>
      <c r="N191" s="25">
        <f t="shared" si="36"/>
        <v>172.82994779417072</v>
      </c>
      <c r="O191" s="23">
        <f t="shared" si="37"/>
        <v>734.46264948026544</v>
      </c>
      <c r="P191" s="32">
        <v>0.215</v>
      </c>
      <c r="Q191" s="23">
        <v>38494.354838709674</v>
      </c>
      <c r="R191" s="23">
        <v>335.61741147893457</v>
      </c>
      <c r="S191" s="25">
        <f t="shared" si="24"/>
        <v>114.69713287245771</v>
      </c>
      <c r="T191" s="24"/>
      <c r="U191" s="32"/>
      <c r="V191" s="22"/>
      <c r="W191" s="24">
        <f t="shared" si="25"/>
        <v>1506615.9410792175</v>
      </c>
    </row>
    <row r="192" spans="1:23" ht="18" customHeight="1" x14ac:dyDescent="0.25">
      <c r="A192" s="21">
        <v>46213</v>
      </c>
      <c r="B192" s="23">
        <v>803750.11042753619</v>
      </c>
      <c r="C192" s="23">
        <v>5312.2941865666626</v>
      </c>
      <c r="D192" s="25">
        <f t="shared" si="32"/>
        <v>151.30000000000004</v>
      </c>
      <c r="E192" s="23">
        <f t="shared" si="33"/>
        <v>1142.1432501118325</v>
      </c>
      <c r="F192" s="32">
        <v>0.215</v>
      </c>
      <c r="G192" s="23">
        <v>465918.57199863507</v>
      </c>
      <c r="H192" s="23">
        <v>5632.8729231739471</v>
      </c>
      <c r="I192" s="25">
        <f t="shared" si="34"/>
        <v>82.714199015891268</v>
      </c>
      <c r="J192" s="23">
        <f t="shared" si="35"/>
        <v>1774.3549707997934</v>
      </c>
      <c r="K192" s="32">
        <v>0.315</v>
      </c>
      <c r="L192" s="23">
        <v>517935.84932255611</v>
      </c>
      <c r="M192" s="23">
        <v>2996.7945713863442</v>
      </c>
      <c r="N192" s="25">
        <f t="shared" si="36"/>
        <v>172.82994779417072</v>
      </c>
      <c r="O192" s="23">
        <f t="shared" si="37"/>
        <v>644.31083284806402</v>
      </c>
      <c r="P192" s="32">
        <v>0.215</v>
      </c>
      <c r="Q192" s="23">
        <v>33769.354838709674</v>
      </c>
      <c r="R192" s="23">
        <v>294.42196149977809</v>
      </c>
      <c r="S192" s="25">
        <f t="shared" si="24"/>
        <v>114.6971328724577</v>
      </c>
      <c r="T192" s="24"/>
      <c r="U192" s="32"/>
      <c r="V192" s="22"/>
      <c r="W192" s="24">
        <f t="shared" si="25"/>
        <v>1321685.9597500924</v>
      </c>
    </row>
    <row r="193" spans="1:23" ht="18" customHeight="1" x14ac:dyDescent="0.25">
      <c r="A193" s="21">
        <v>46214</v>
      </c>
      <c r="B193" s="23">
        <v>706284.32471972366</v>
      </c>
      <c r="C193" s="23">
        <v>4668.1052526088806</v>
      </c>
      <c r="D193" s="25">
        <f t="shared" si="32"/>
        <v>151.30000000000001</v>
      </c>
      <c r="E193" s="23">
        <f t="shared" si="33"/>
        <v>1003.6426293109093</v>
      </c>
      <c r="F193" s="32">
        <v>0.215</v>
      </c>
      <c r="G193" s="23">
        <v>409419.51948646363</v>
      </c>
      <c r="H193" s="23">
        <v>4949.8093961812392</v>
      </c>
      <c r="I193" s="25">
        <f t="shared" si="34"/>
        <v>82.714199015891268</v>
      </c>
      <c r="J193" s="23">
        <f t="shared" si="35"/>
        <v>1559.1899597970903</v>
      </c>
      <c r="K193" s="32">
        <v>0.315</v>
      </c>
      <c r="L193" s="23">
        <v>455128.98454512685</v>
      </c>
      <c r="M193" s="23">
        <v>2633.3918996906482</v>
      </c>
      <c r="N193" s="25">
        <f t="shared" si="36"/>
        <v>172.82994779417075</v>
      </c>
      <c r="O193" s="23">
        <f t="shared" si="37"/>
        <v>566.17925843348939</v>
      </c>
      <c r="P193" s="32">
        <v>0.215</v>
      </c>
      <c r="Q193" s="23">
        <v>29674.354838709682</v>
      </c>
      <c r="R193" s="23">
        <v>258.71923818450915</v>
      </c>
      <c r="S193" s="25">
        <f t="shared" si="24"/>
        <v>114.69713287245771</v>
      </c>
      <c r="T193" s="24"/>
      <c r="U193" s="32"/>
      <c r="V193" s="22"/>
      <c r="W193" s="24">
        <f t="shared" si="25"/>
        <v>1161413.3092648506</v>
      </c>
    </row>
    <row r="194" spans="1:23" ht="18" customHeight="1" x14ac:dyDescent="0.25">
      <c r="A194" s="21">
        <v>46215</v>
      </c>
      <c r="B194" s="23">
        <v>651303.62508967554</v>
      </c>
      <c r="C194" s="23">
        <v>4304.7166231967976</v>
      </c>
      <c r="D194" s="25">
        <f t="shared" si="32"/>
        <v>151.30000000000001</v>
      </c>
      <c r="E194" s="23">
        <f t="shared" si="33"/>
        <v>925.51407398731146</v>
      </c>
      <c r="F194" s="32">
        <v>0.215</v>
      </c>
      <c r="G194" s="23">
        <v>377548.25909498229</v>
      </c>
      <c r="H194" s="23">
        <v>4564.4915091597113</v>
      </c>
      <c r="I194" s="25">
        <f t="shared" si="34"/>
        <v>82.714199015891282</v>
      </c>
      <c r="J194" s="23">
        <f t="shared" si="35"/>
        <v>1437.8148253853092</v>
      </c>
      <c r="K194" s="32">
        <v>0.315</v>
      </c>
      <c r="L194" s="23">
        <v>419699.47108093591</v>
      </c>
      <c r="M194" s="23">
        <v>2428.3955207853837</v>
      </c>
      <c r="N194" s="25">
        <f t="shared" si="36"/>
        <v>172.82994779417072</v>
      </c>
      <c r="O194" s="23">
        <f t="shared" si="37"/>
        <v>522.10503696885746</v>
      </c>
      <c r="P194" s="32">
        <v>0.215</v>
      </c>
      <c r="Q194" s="23">
        <v>27364.354838709678</v>
      </c>
      <c r="R194" s="23">
        <v>238.57924041692149</v>
      </c>
      <c r="S194" s="25">
        <f t="shared" si="24"/>
        <v>114.69713287245771</v>
      </c>
      <c r="T194" s="24"/>
      <c r="U194" s="32"/>
      <c r="V194" s="22"/>
      <c r="W194" s="24">
        <f t="shared" si="25"/>
        <v>1071003.0961706114</v>
      </c>
    </row>
    <row r="195" spans="1:23" ht="18" customHeight="1" x14ac:dyDescent="0.25">
      <c r="A195" s="21">
        <v>46216</v>
      </c>
      <c r="B195" s="23">
        <v>816245.7239798198</v>
      </c>
      <c r="C195" s="23">
        <v>5394.8825114330448</v>
      </c>
      <c r="D195" s="25">
        <f t="shared" si="32"/>
        <v>151.30000000000001</v>
      </c>
      <c r="E195" s="23">
        <f t="shared" si="33"/>
        <v>1159.8997399581046</v>
      </c>
      <c r="F195" s="32">
        <v>0.215</v>
      </c>
      <c r="G195" s="23">
        <v>473162.0402694263</v>
      </c>
      <c r="H195" s="23">
        <v>5720.445170224295</v>
      </c>
      <c r="I195" s="25">
        <f t="shared" si="34"/>
        <v>82.714199015891268</v>
      </c>
      <c r="J195" s="23">
        <f t="shared" si="35"/>
        <v>1801.940228620653</v>
      </c>
      <c r="K195" s="32">
        <v>0.315</v>
      </c>
      <c r="L195" s="23">
        <v>525988.01147350855</v>
      </c>
      <c r="M195" s="23">
        <v>3043.3846575011771</v>
      </c>
      <c r="N195" s="25">
        <f t="shared" si="36"/>
        <v>172.82994779417072</v>
      </c>
      <c r="O195" s="23">
        <f t="shared" si="37"/>
        <v>654.32770136275303</v>
      </c>
      <c r="P195" s="32">
        <v>0.215</v>
      </c>
      <c r="Q195" s="23">
        <v>34294.354838709674</v>
      </c>
      <c r="R195" s="23">
        <v>298.99923371968436</v>
      </c>
      <c r="S195" s="25">
        <f t="shared" ref="S195:S258" si="38">Q195/R195</f>
        <v>114.69713287245771</v>
      </c>
      <c r="T195" s="24"/>
      <c r="U195" s="32"/>
      <c r="V195" s="22"/>
      <c r="W195" s="24">
        <f t="shared" ref="W195:W258" si="39">SUM(B195,L195)</f>
        <v>1342233.7354533284</v>
      </c>
    </row>
    <row r="196" spans="1:23" ht="18" customHeight="1" x14ac:dyDescent="0.25">
      <c r="A196" s="21">
        <v>46217</v>
      </c>
      <c r="B196" s="23">
        <v>841236.95108438714</v>
      </c>
      <c r="C196" s="23">
        <v>5560.0591611658101</v>
      </c>
      <c r="D196" s="25">
        <f t="shared" si="32"/>
        <v>151.30000000000001</v>
      </c>
      <c r="E196" s="23">
        <f t="shared" si="33"/>
        <v>1195.4127196506493</v>
      </c>
      <c r="F196" s="32">
        <v>0.215</v>
      </c>
      <c r="G196" s="23">
        <v>487648.97681100876</v>
      </c>
      <c r="H196" s="23">
        <v>5895.5896643249898</v>
      </c>
      <c r="I196" s="25">
        <f t="shared" si="34"/>
        <v>82.714199015891268</v>
      </c>
      <c r="J196" s="23">
        <f t="shared" si="35"/>
        <v>1857.1107442623718</v>
      </c>
      <c r="K196" s="32">
        <v>0.315</v>
      </c>
      <c r="L196" s="23">
        <v>542092.33577541355</v>
      </c>
      <c r="M196" s="23">
        <v>3136.5648297308426</v>
      </c>
      <c r="N196" s="25">
        <f t="shared" si="36"/>
        <v>172.82994779417075</v>
      </c>
      <c r="O196" s="23">
        <f t="shared" si="37"/>
        <v>674.36143839213116</v>
      </c>
      <c r="P196" s="32">
        <v>0.215</v>
      </c>
      <c r="Q196" s="23">
        <v>35344.354838709682</v>
      </c>
      <c r="R196" s="23">
        <v>308.15377815949694</v>
      </c>
      <c r="S196" s="25">
        <f t="shared" si="38"/>
        <v>114.69713287245773</v>
      </c>
      <c r="T196" s="24"/>
      <c r="U196" s="32"/>
      <c r="V196" s="22"/>
      <c r="W196" s="24">
        <f t="shared" si="39"/>
        <v>1383329.2868598006</v>
      </c>
    </row>
    <row r="197" spans="1:23" ht="18" customHeight="1" x14ac:dyDescent="0.25">
      <c r="A197" s="21">
        <v>46218</v>
      </c>
      <c r="B197" s="23">
        <v>878723.79174123821</v>
      </c>
      <c r="C197" s="23">
        <v>5807.8241357649576</v>
      </c>
      <c r="D197" s="25">
        <f t="shared" si="32"/>
        <v>151.30000000000001</v>
      </c>
      <c r="E197" s="23">
        <f t="shared" si="33"/>
        <v>1248.6821891894658</v>
      </c>
      <c r="F197" s="32">
        <v>0.215</v>
      </c>
      <c r="G197" s="23">
        <v>509379.38162338245</v>
      </c>
      <c r="H197" s="23">
        <v>6158.3064054760316</v>
      </c>
      <c r="I197" s="25">
        <f t="shared" si="34"/>
        <v>82.714199015891268</v>
      </c>
      <c r="J197" s="23">
        <f t="shared" si="35"/>
        <v>1939.86651772495</v>
      </c>
      <c r="K197" s="32">
        <v>0.315</v>
      </c>
      <c r="L197" s="23">
        <v>566248.82222827105</v>
      </c>
      <c r="M197" s="23">
        <v>3276.3350880753414</v>
      </c>
      <c r="N197" s="25">
        <f t="shared" si="36"/>
        <v>172.82994779417075</v>
      </c>
      <c r="O197" s="23">
        <f t="shared" si="37"/>
        <v>704.41204393619842</v>
      </c>
      <c r="P197" s="32">
        <v>0.215</v>
      </c>
      <c r="Q197" s="23">
        <v>36919.354838709682</v>
      </c>
      <c r="R197" s="23">
        <v>321.88559481921578</v>
      </c>
      <c r="S197" s="25">
        <f t="shared" si="38"/>
        <v>114.69713287245773</v>
      </c>
      <c r="T197" s="24"/>
      <c r="U197" s="32"/>
      <c r="V197" s="22"/>
      <c r="W197" s="24">
        <f t="shared" si="39"/>
        <v>1444972.6139695093</v>
      </c>
    </row>
    <row r="198" spans="1:23" ht="18" customHeight="1" x14ac:dyDescent="0.25">
      <c r="A198" s="21">
        <v>46219</v>
      </c>
      <c r="B198" s="23">
        <v>828741.33753210353</v>
      </c>
      <c r="C198" s="23">
        <v>5477.4708362994279</v>
      </c>
      <c r="D198" s="25">
        <f t="shared" si="32"/>
        <v>151.30000000000001</v>
      </c>
      <c r="E198" s="23">
        <f t="shared" si="33"/>
        <v>1177.6562298043771</v>
      </c>
      <c r="F198" s="32">
        <v>0.215</v>
      </c>
      <c r="G198" s="23">
        <v>480405.50854021753</v>
      </c>
      <c r="H198" s="23">
        <v>5808.017417274642</v>
      </c>
      <c r="I198" s="25">
        <f t="shared" si="34"/>
        <v>82.714199015891268</v>
      </c>
      <c r="J198" s="23">
        <f t="shared" si="35"/>
        <v>1829.5254864415122</v>
      </c>
      <c r="K198" s="32">
        <v>0.315</v>
      </c>
      <c r="L198" s="23">
        <v>534040.17362446105</v>
      </c>
      <c r="M198" s="23">
        <v>3089.9747436160101</v>
      </c>
      <c r="N198" s="25">
        <f t="shared" si="36"/>
        <v>172.82994779417072</v>
      </c>
      <c r="O198" s="23">
        <f t="shared" si="37"/>
        <v>664.34456987744215</v>
      </c>
      <c r="P198" s="32">
        <v>0.215</v>
      </c>
      <c r="Q198" s="23">
        <v>34819.354838709682</v>
      </c>
      <c r="R198" s="23">
        <v>303.57650593959067</v>
      </c>
      <c r="S198" s="25">
        <f t="shared" si="38"/>
        <v>114.69713287245771</v>
      </c>
      <c r="T198" s="24"/>
      <c r="U198" s="32"/>
      <c r="V198" s="22"/>
      <c r="W198" s="24">
        <f t="shared" si="39"/>
        <v>1362781.5111565646</v>
      </c>
    </row>
    <row r="199" spans="1:23" ht="18" customHeight="1" x14ac:dyDescent="0.25">
      <c r="A199" s="21">
        <v>46220</v>
      </c>
      <c r="B199" s="23">
        <v>791254.49687525246</v>
      </c>
      <c r="C199" s="23">
        <v>5229.7058617002804</v>
      </c>
      <c r="D199" s="25">
        <f t="shared" si="32"/>
        <v>151.30000000000001</v>
      </c>
      <c r="E199" s="23">
        <f t="shared" si="33"/>
        <v>1124.3867602655603</v>
      </c>
      <c r="F199" s="32">
        <v>0.215</v>
      </c>
      <c r="G199" s="23">
        <v>458675.10372784385</v>
      </c>
      <c r="H199" s="23">
        <v>5545.3006761236002</v>
      </c>
      <c r="I199" s="25">
        <f t="shared" si="34"/>
        <v>82.714199015891268</v>
      </c>
      <c r="J199" s="23">
        <f t="shared" si="35"/>
        <v>1746.769712978934</v>
      </c>
      <c r="K199" s="32">
        <v>0.315</v>
      </c>
      <c r="L199" s="23">
        <v>509883.68717160361</v>
      </c>
      <c r="M199" s="23">
        <v>2950.2044852715112</v>
      </c>
      <c r="N199" s="25">
        <f t="shared" si="36"/>
        <v>172.82994779417072</v>
      </c>
      <c r="O199" s="23">
        <f t="shared" si="37"/>
        <v>634.2939643333749</v>
      </c>
      <c r="P199" s="32">
        <v>0.215</v>
      </c>
      <c r="Q199" s="23">
        <v>33244.354838709674</v>
      </c>
      <c r="R199" s="23">
        <v>289.84468927987177</v>
      </c>
      <c r="S199" s="25">
        <f t="shared" si="38"/>
        <v>114.69713287245771</v>
      </c>
      <c r="T199" s="24"/>
      <c r="U199" s="32"/>
      <c r="V199" s="22"/>
      <c r="W199" s="24">
        <f t="shared" si="39"/>
        <v>1301138.1840468561</v>
      </c>
    </row>
    <row r="200" spans="1:23" ht="18" customHeight="1" x14ac:dyDescent="0.25">
      <c r="A200" s="21">
        <v>46221</v>
      </c>
      <c r="B200" s="23">
        <v>706284.32471972366</v>
      </c>
      <c r="C200" s="23">
        <v>4668.1052526088806</v>
      </c>
      <c r="D200" s="25">
        <f t="shared" si="32"/>
        <v>151.30000000000001</v>
      </c>
      <c r="E200" s="23">
        <f t="shared" si="33"/>
        <v>1003.6426293109093</v>
      </c>
      <c r="F200" s="32">
        <v>0.215</v>
      </c>
      <c r="G200" s="23">
        <v>409419.51948646363</v>
      </c>
      <c r="H200" s="23">
        <v>4949.8093961812392</v>
      </c>
      <c r="I200" s="25">
        <f t="shared" si="34"/>
        <v>82.714199015891268</v>
      </c>
      <c r="J200" s="23">
        <f t="shared" si="35"/>
        <v>1559.1899597970903</v>
      </c>
      <c r="K200" s="32">
        <v>0.315</v>
      </c>
      <c r="L200" s="23">
        <v>455128.98454512685</v>
      </c>
      <c r="M200" s="23">
        <v>2633.3918996906482</v>
      </c>
      <c r="N200" s="25">
        <f t="shared" si="36"/>
        <v>172.82994779417075</v>
      </c>
      <c r="O200" s="23">
        <f t="shared" si="37"/>
        <v>566.17925843348939</v>
      </c>
      <c r="P200" s="32">
        <v>0.215</v>
      </c>
      <c r="Q200" s="23">
        <v>29674.354838709682</v>
      </c>
      <c r="R200" s="23">
        <v>258.71923818450915</v>
      </c>
      <c r="S200" s="25">
        <f t="shared" si="38"/>
        <v>114.69713287245771</v>
      </c>
      <c r="T200" s="24"/>
      <c r="U200" s="32"/>
      <c r="V200" s="22"/>
      <c r="W200" s="24">
        <f t="shared" si="39"/>
        <v>1161413.3092648506</v>
      </c>
    </row>
    <row r="201" spans="1:23" ht="18" customHeight="1" x14ac:dyDescent="0.25">
      <c r="A201" s="21">
        <v>46222</v>
      </c>
      <c r="B201" s="23">
        <v>651303.62508967554</v>
      </c>
      <c r="C201" s="23">
        <v>4304.7166231967976</v>
      </c>
      <c r="D201" s="25">
        <f t="shared" si="32"/>
        <v>151.30000000000001</v>
      </c>
      <c r="E201" s="23">
        <f t="shared" si="33"/>
        <v>925.51407398731146</v>
      </c>
      <c r="F201" s="32">
        <v>0.215</v>
      </c>
      <c r="G201" s="23">
        <v>377548.25909498229</v>
      </c>
      <c r="H201" s="23">
        <v>4564.4915091597113</v>
      </c>
      <c r="I201" s="25">
        <f t="shared" si="34"/>
        <v>82.714199015891282</v>
      </c>
      <c r="J201" s="23">
        <f t="shared" si="35"/>
        <v>1437.8148253853092</v>
      </c>
      <c r="K201" s="32">
        <v>0.315</v>
      </c>
      <c r="L201" s="23">
        <v>419699.47108093591</v>
      </c>
      <c r="M201" s="23">
        <v>2428.3955207853837</v>
      </c>
      <c r="N201" s="25">
        <f t="shared" si="36"/>
        <v>172.82994779417072</v>
      </c>
      <c r="O201" s="23">
        <f t="shared" si="37"/>
        <v>522.10503696885746</v>
      </c>
      <c r="P201" s="32">
        <v>0.215</v>
      </c>
      <c r="Q201" s="23">
        <v>27364.354838709678</v>
      </c>
      <c r="R201" s="23">
        <v>238.57924041692149</v>
      </c>
      <c r="S201" s="25">
        <f t="shared" si="38"/>
        <v>114.69713287245771</v>
      </c>
      <c r="T201" s="24"/>
      <c r="U201" s="32"/>
      <c r="V201" s="22"/>
      <c r="W201" s="24">
        <f t="shared" si="39"/>
        <v>1071003.0961706114</v>
      </c>
    </row>
    <row r="202" spans="1:23" ht="18" customHeight="1" x14ac:dyDescent="0.25">
      <c r="A202" s="21">
        <v>46223</v>
      </c>
      <c r="B202" s="23">
        <v>791254.49687525246</v>
      </c>
      <c r="C202" s="23">
        <v>5229.7058617002804</v>
      </c>
      <c r="D202" s="25">
        <f t="shared" si="32"/>
        <v>151.30000000000001</v>
      </c>
      <c r="E202" s="23">
        <f t="shared" si="33"/>
        <v>1124.3867602655603</v>
      </c>
      <c r="F202" s="32">
        <v>0.215</v>
      </c>
      <c r="G202" s="23">
        <v>458675.10372784385</v>
      </c>
      <c r="H202" s="23">
        <v>5545.3006761236002</v>
      </c>
      <c r="I202" s="25">
        <f t="shared" si="34"/>
        <v>82.714199015891268</v>
      </c>
      <c r="J202" s="23">
        <f t="shared" si="35"/>
        <v>1746.769712978934</v>
      </c>
      <c r="K202" s="32">
        <v>0.315</v>
      </c>
      <c r="L202" s="23">
        <v>509883.68717160361</v>
      </c>
      <c r="M202" s="23">
        <v>2950.2044852715112</v>
      </c>
      <c r="N202" s="25">
        <f t="shared" si="36"/>
        <v>172.82994779417072</v>
      </c>
      <c r="O202" s="23">
        <f t="shared" si="37"/>
        <v>634.2939643333749</v>
      </c>
      <c r="P202" s="32">
        <v>0.215</v>
      </c>
      <c r="Q202" s="23">
        <v>33244.354838709674</v>
      </c>
      <c r="R202" s="23">
        <v>289.84468927987177</v>
      </c>
      <c r="S202" s="25">
        <f t="shared" si="38"/>
        <v>114.69713287245771</v>
      </c>
      <c r="T202" s="24"/>
      <c r="U202" s="32"/>
      <c r="V202" s="22"/>
      <c r="W202" s="24">
        <f t="shared" si="39"/>
        <v>1301138.1840468561</v>
      </c>
    </row>
    <row r="203" spans="1:23" ht="18" customHeight="1" x14ac:dyDescent="0.25">
      <c r="A203" s="21">
        <v>46224</v>
      </c>
      <c r="B203" s="23">
        <v>828741.33753210353</v>
      </c>
      <c r="C203" s="23">
        <v>5477.4708362994279</v>
      </c>
      <c r="D203" s="25">
        <f t="shared" si="32"/>
        <v>151.30000000000001</v>
      </c>
      <c r="E203" s="23">
        <f t="shared" si="33"/>
        <v>1177.6562298043771</v>
      </c>
      <c r="F203" s="32">
        <v>0.215</v>
      </c>
      <c r="G203" s="23">
        <v>480405.50854021753</v>
      </c>
      <c r="H203" s="23">
        <v>5808.017417274642</v>
      </c>
      <c r="I203" s="25">
        <f t="shared" si="34"/>
        <v>82.714199015891268</v>
      </c>
      <c r="J203" s="23">
        <f t="shared" si="35"/>
        <v>1829.5254864415122</v>
      </c>
      <c r="K203" s="32">
        <v>0.315</v>
      </c>
      <c r="L203" s="23">
        <v>534040.17362446105</v>
      </c>
      <c r="M203" s="23">
        <v>3089.9747436160101</v>
      </c>
      <c r="N203" s="25">
        <f t="shared" si="36"/>
        <v>172.82994779417072</v>
      </c>
      <c r="O203" s="23">
        <f t="shared" si="37"/>
        <v>664.34456987744215</v>
      </c>
      <c r="P203" s="32">
        <v>0.215</v>
      </c>
      <c r="Q203" s="23">
        <v>34819.354838709682</v>
      </c>
      <c r="R203" s="23">
        <v>303.57650593959067</v>
      </c>
      <c r="S203" s="25">
        <f t="shared" si="38"/>
        <v>114.69713287245771</v>
      </c>
      <c r="T203" s="24"/>
      <c r="U203" s="32"/>
      <c r="V203" s="22"/>
      <c r="W203" s="24">
        <f t="shared" si="39"/>
        <v>1362781.5111565646</v>
      </c>
    </row>
    <row r="204" spans="1:23" ht="18" customHeight="1" x14ac:dyDescent="0.25">
      <c r="A204" s="21">
        <v>46225</v>
      </c>
      <c r="B204" s="23">
        <v>853732.56463667087</v>
      </c>
      <c r="C204" s="23">
        <v>5642.6474860321923</v>
      </c>
      <c r="D204" s="25">
        <f t="shared" si="32"/>
        <v>151.30000000000004</v>
      </c>
      <c r="E204" s="23">
        <f t="shared" si="33"/>
        <v>1213.1692094969214</v>
      </c>
      <c r="F204" s="32">
        <v>0.215</v>
      </c>
      <c r="G204" s="23">
        <v>494892.44508179999</v>
      </c>
      <c r="H204" s="23">
        <v>5983.1619113753368</v>
      </c>
      <c r="I204" s="25">
        <f t="shared" si="34"/>
        <v>82.714199015891268</v>
      </c>
      <c r="J204" s="23">
        <f t="shared" si="35"/>
        <v>1884.6960020832312</v>
      </c>
      <c r="K204" s="32">
        <v>0.315</v>
      </c>
      <c r="L204" s="23">
        <v>550144.49792636605</v>
      </c>
      <c r="M204" s="23">
        <v>3183.1549158456755</v>
      </c>
      <c r="N204" s="25">
        <f t="shared" si="36"/>
        <v>172.82994779417075</v>
      </c>
      <c r="O204" s="23">
        <f t="shared" si="37"/>
        <v>684.37830690682028</v>
      </c>
      <c r="P204" s="32">
        <v>0.215</v>
      </c>
      <c r="Q204" s="23">
        <v>35869.354838709682</v>
      </c>
      <c r="R204" s="23">
        <v>312.7310503794032</v>
      </c>
      <c r="S204" s="25">
        <f t="shared" si="38"/>
        <v>114.69713287245773</v>
      </c>
      <c r="T204" s="24"/>
      <c r="U204" s="32"/>
      <c r="V204" s="22"/>
      <c r="W204" s="24">
        <f t="shared" si="39"/>
        <v>1403877.062563037</v>
      </c>
    </row>
    <row r="205" spans="1:23" ht="18" customHeight="1" x14ac:dyDescent="0.25">
      <c r="A205" s="21">
        <v>46226</v>
      </c>
      <c r="B205" s="23">
        <v>816245.7239798198</v>
      </c>
      <c r="C205" s="23">
        <v>5394.8825114330448</v>
      </c>
      <c r="D205" s="25">
        <f t="shared" si="32"/>
        <v>151.30000000000001</v>
      </c>
      <c r="E205" s="23">
        <f t="shared" si="33"/>
        <v>1159.8997399581046</v>
      </c>
      <c r="F205" s="32">
        <v>0.215</v>
      </c>
      <c r="G205" s="23">
        <v>473162.0402694263</v>
      </c>
      <c r="H205" s="23">
        <v>5720.445170224295</v>
      </c>
      <c r="I205" s="25">
        <f t="shared" si="34"/>
        <v>82.714199015891268</v>
      </c>
      <c r="J205" s="23">
        <f t="shared" si="35"/>
        <v>1801.940228620653</v>
      </c>
      <c r="K205" s="32">
        <v>0.315</v>
      </c>
      <c r="L205" s="23">
        <v>525988.01147350855</v>
      </c>
      <c r="M205" s="23">
        <v>3043.3846575011771</v>
      </c>
      <c r="N205" s="25">
        <f t="shared" si="36"/>
        <v>172.82994779417072</v>
      </c>
      <c r="O205" s="23">
        <f t="shared" si="37"/>
        <v>654.32770136275303</v>
      </c>
      <c r="P205" s="32">
        <v>0.215</v>
      </c>
      <c r="Q205" s="23">
        <v>34294.354838709674</v>
      </c>
      <c r="R205" s="23">
        <v>298.99923371968436</v>
      </c>
      <c r="S205" s="25">
        <f t="shared" si="38"/>
        <v>114.69713287245771</v>
      </c>
      <c r="T205" s="24"/>
      <c r="U205" s="32"/>
      <c r="V205" s="22"/>
      <c r="W205" s="24">
        <f t="shared" si="39"/>
        <v>1342233.7354533284</v>
      </c>
    </row>
    <row r="206" spans="1:23" ht="18" customHeight="1" x14ac:dyDescent="0.25">
      <c r="A206" s="21">
        <v>46227</v>
      </c>
      <c r="B206" s="23">
        <v>791254.49687525246</v>
      </c>
      <c r="C206" s="23">
        <v>5229.7058617002804</v>
      </c>
      <c r="D206" s="25">
        <f t="shared" si="32"/>
        <v>151.30000000000001</v>
      </c>
      <c r="E206" s="23">
        <f t="shared" si="33"/>
        <v>1124.3867602655603</v>
      </c>
      <c r="F206" s="32">
        <v>0.215</v>
      </c>
      <c r="G206" s="23">
        <v>458675.10372784385</v>
      </c>
      <c r="H206" s="23">
        <v>5545.3006761236002</v>
      </c>
      <c r="I206" s="25">
        <f t="shared" si="34"/>
        <v>82.714199015891268</v>
      </c>
      <c r="J206" s="23">
        <f t="shared" si="35"/>
        <v>1746.769712978934</v>
      </c>
      <c r="K206" s="32">
        <v>0.315</v>
      </c>
      <c r="L206" s="23">
        <v>509883.68717160361</v>
      </c>
      <c r="M206" s="23">
        <v>2950.2044852715112</v>
      </c>
      <c r="N206" s="25">
        <f t="shared" si="36"/>
        <v>172.82994779417072</v>
      </c>
      <c r="O206" s="23">
        <f t="shared" si="37"/>
        <v>634.2939643333749</v>
      </c>
      <c r="P206" s="32">
        <v>0.215</v>
      </c>
      <c r="Q206" s="23">
        <v>33244.354838709674</v>
      </c>
      <c r="R206" s="23">
        <v>289.84468927987177</v>
      </c>
      <c r="S206" s="25">
        <f t="shared" si="38"/>
        <v>114.69713287245771</v>
      </c>
      <c r="T206" s="24"/>
      <c r="U206" s="32"/>
      <c r="V206" s="22"/>
      <c r="W206" s="24">
        <f t="shared" si="39"/>
        <v>1301138.1840468561</v>
      </c>
    </row>
    <row r="207" spans="1:23" ht="18" customHeight="1" x14ac:dyDescent="0.25">
      <c r="A207" s="21">
        <v>46228</v>
      </c>
      <c r="B207" s="23">
        <v>706284.32471972366</v>
      </c>
      <c r="C207" s="23">
        <v>4668.1052526088806</v>
      </c>
      <c r="D207" s="25">
        <f t="shared" si="32"/>
        <v>151.30000000000001</v>
      </c>
      <c r="E207" s="23">
        <f t="shared" si="33"/>
        <v>1003.6426293109093</v>
      </c>
      <c r="F207" s="32">
        <v>0.215</v>
      </c>
      <c r="G207" s="23">
        <v>409419.51948646363</v>
      </c>
      <c r="H207" s="23">
        <v>4949.8093961812392</v>
      </c>
      <c r="I207" s="25">
        <f t="shared" si="34"/>
        <v>82.714199015891268</v>
      </c>
      <c r="J207" s="23">
        <f t="shared" si="35"/>
        <v>1559.1899597970903</v>
      </c>
      <c r="K207" s="32">
        <v>0.315</v>
      </c>
      <c r="L207" s="23">
        <v>455128.98454512685</v>
      </c>
      <c r="M207" s="23">
        <v>2633.3918996906482</v>
      </c>
      <c r="N207" s="25">
        <f t="shared" si="36"/>
        <v>172.82994779417075</v>
      </c>
      <c r="O207" s="23">
        <f t="shared" si="37"/>
        <v>566.17925843348939</v>
      </c>
      <c r="P207" s="32">
        <v>0.215</v>
      </c>
      <c r="Q207" s="23">
        <v>29674.354838709682</v>
      </c>
      <c r="R207" s="23">
        <v>258.71923818450915</v>
      </c>
      <c r="S207" s="25">
        <f t="shared" si="38"/>
        <v>114.69713287245771</v>
      </c>
      <c r="T207" s="24"/>
      <c r="U207" s="32"/>
      <c r="V207" s="22"/>
      <c r="W207" s="24">
        <f t="shared" si="39"/>
        <v>1161413.3092648506</v>
      </c>
    </row>
    <row r="208" spans="1:23" ht="18" customHeight="1" x14ac:dyDescent="0.25">
      <c r="A208" s="21">
        <v>46229</v>
      </c>
      <c r="B208" s="23">
        <v>651303.62508967554</v>
      </c>
      <c r="C208" s="23">
        <v>4304.7166231967976</v>
      </c>
      <c r="D208" s="25">
        <f t="shared" si="32"/>
        <v>151.30000000000001</v>
      </c>
      <c r="E208" s="23">
        <f t="shared" si="33"/>
        <v>925.51407398731146</v>
      </c>
      <c r="F208" s="32">
        <v>0.215</v>
      </c>
      <c r="G208" s="23">
        <v>377548.25909498229</v>
      </c>
      <c r="H208" s="23">
        <v>4564.4915091597113</v>
      </c>
      <c r="I208" s="25">
        <f t="shared" si="34"/>
        <v>82.714199015891282</v>
      </c>
      <c r="J208" s="23">
        <f t="shared" si="35"/>
        <v>1437.8148253853092</v>
      </c>
      <c r="K208" s="32">
        <v>0.315</v>
      </c>
      <c r="L208" s="23">
        <v>419699.47108093591</v>
      </c>
      <c r="M208" s="23">
        <v>2428.3955207853837</v>
      </c>
      <c r="N208" s="25">
        <f t="shared" si="36"/>
        <v>172.82994779417072</v>
      </c>
      <c r="O208" s="23">
        <f t="shared" si="37"/>
        <v>522.10503696885746</v>
      </c>
      <c r="P208" s="32">
        <v>0.215</v>
      </c>
      <c r="Q208" s="23">
        <v>27364.354838709678</v>
      </c>
      <c r="R208" s="23">
        <v>238.57924041692149</v>
      </c>
      <c r="S208" s="25">
        <f t="shared" si="38"/>
        <v>114.69713287245771</v>
      </c>
      <c r="T208" s="24"/>
      <c r="U208" s="32"/>
      <c r="V208" s="22"/>
      <c r="W208" s="24">
        <f t="shared" si="39"/>
        <v>1071003.0961706114</v>
      </c>
    </row>
    <row r="209" spans="1:25" ht="18" customHeight="1" x14ac:dyDescent="0.25">
      <c r="A209" s="21">
        <v>46230</v>
      </c>
      <c r="B209" s="23">
        <v>778758.88332296885</v>
      </c>
      <c r="C209" s="23">
        <v>5147.1175368338982</v>
      </c>
      <c r="D209" s="25">
        <f t="shared" si="32"/>
        <v>151.30000000000001</v>
      </c>
      <c r="E209" s="23">
        <f t="shared" si="33"/>
        <v>1106.6302704192881</v>
      </c>
      <c r="F209" s="32">
        <v>0.215</v>
      </c>
      <c r="G209" s="23">
        <v>451431.63545705267</v>
      </c>
      <c r="H209" s="23">
        <v>5457.7284290732532</v>
      </c>
      <c r="I209" s="25">
        <f t="shared" si="34"/>
        <v>82.714199015891268</v>
      </c>
      <c r="J209" s="23">
        <f t="shared" si="35"/>
        <v>1719.1844551580748</v>
      </c>
      <c r="K209" s="32">
        <v>0.315</v>
      </c>
      <c r="L209" s="23">
        <v>501831.52502065117</v>
      </c>
      <c r="M209" s="23">
        <v>2903.6143991566787</v>
      </c>
      <c r="N209" s="25">
        <f t="shared" si="36"/>
        <v>172.82994779417072</v>
      </c>
      <c r="O209" s="23">
        <f t="shared" si="37"/>
        <v>624.27709581868589</v>
      </c>
      <c r="P209" s="32">
        <v>0.215</v>
      </c>
      <c r="Q209" s="23">
        <v>32719.354838709678</v>
      </c>
      <c r="R209" s="23">
        <v>285.26741705996557</v>
      </c>
      <c r="S209" s="25">
        <f t="shared" si="38"/>
        <v>114.6971328724577</v>
      </c>
      <c r="T209" s="24"/>
      <c r="U209" s="32"/>
      <c r="V209" s="22"/>
      <c r="W209" s="24">
        <f t="shared" si="39"/>
        <v>1280590.4083436201</v>
      </c>
    </row>
    <row r="210" spans="1:25" ht="18" customHeight="1" x14ac:dyDescent="0.25">
      <c r="A210" s="21">
        <v>46231</v>
      </c>
      <c r="B210" s="23">
        <v>803750.11042753619</v>
      </c>
      <c r="C210" s="23">
        <v>5312.2941865666626</v>
      </c>
      <c r="D210" s="25">
        <f t="shared" si="32"/>
        <v>151.30000000000004</v>
      </c>
      <c r="E210" s="23">
        <f t="shared" si="33"/>
        <v>1142.1432501118325</v>
      </c>
      <c r="F210" s="32">
        <v>0.215</v>
      </c>
      <c r="G210" s="23">
        <v>465918.57199863507</v>
      </c>
      <c r="H210" s="23">
        <v>5632.8729231739471</v>
      </c>
      <c r="I210" s="25">
        <f t="shared" si="34"/>
        <v>82.714199015891268</v>
      </c>
      <c r="J210" s="23">
        <f t="shared" si="35"/>
        <v>1774.3549707997934</v>
      </c>
      <c r="K210" s="32">
        <v>0.315</v>
      </c>
      <c r="L210" s="23">
        <v>517935.84932255611</v>
      </c>
      <c r="M210" s="23">
        <v>2996.7945713863442</v>
      </c>
      <c r="N210" s="25">
        <f t="shared" si="36"/>
        <v>172.82994779417072</v>
      </c>
      <c r="O210" s="23">
        <f t="shared" si="37"/>
        <v>644.31083284806402</v>
      </c>
      <c r="P210" s="32">
        <v>0.215</v>
      </c>
      <c r="Q210" s="23">
        <v>33769.354838709674</v>
      </c>
      <c r="R210" s="23">
        <v>294.42196149977809</v>
      </c>
      <c r="S210" s="25">
        <f t="shared" si="38"/>
        <v>114.6971328724577</v>
      </c>
      <c r="T210" s="24"/>
      <c r="U210" s="32"/>
      <c r="V210" s="22"/>
      <c r="W210" s="24">
        <f t="shared" si="39"/>
        <v>1321685.9597500924</v>
      </c>
    </row>
    <row r="211" spans="1:25" ht="18" customHeight="1" x14ac:dyDescent="0.25">
      <c r="A211" s="21">
        <v>46232</v>
      </c>
      <c r="B211" s="23">
        <v>841236.95108438714</v>
      </c>
      <c r="C211" s="23">
        <v>5560.0591611658101</v>
      </c>
      <c r="D211" s="25">
        <f t="shared" si="32"/>
        <v>151.30000000000001</v>
      </c>
      <c r="E211" s="23">
        <f t="shared" si="33"/>
        <v>1195.4127196506493</v>
      </c>
      <c r="F211" s="32">
        <v>0.215</v>
      </c>
      <c r="G211" s="23">
        <v>487648.97681100876</v>
      </c>
      <c r="H211" s="23">
        <v>5895.5896643249898</v>
      </c>
      <c r="I211" s="25">
        <f t="shared" si="34"/>
        <v>82.714199015891268</v>
      </c>
      <c r="J211" s="23">
        <f t="shared" si="35"/>
        <v>1857.1107442623718</v>
      </c>
      <c r="K211" s="32">
        <v>0.315</v>
      </c>
      <c r="L211" s="23">
        <v>542092.33577541355</v>
      </c>
      <c r="M211" s="23">
        <v>3136.5648297308426</v>
      </c>
      <c r="N211" s="25">
        <f t="shared" si="36"/>
        <v>172.82994779417075</v>
      </c>
      <c r="O211" s="23">
        <f t="shared" si="37"/>
        <v>674.36143839213116</v>
      </c>
      <c r="P211" s="32">
        <v>0.215</v>
      </c>
      <c r="Q211" s="23">
        <v>35344.354838709682</v>
      </c>
      <c r="R211" s="23">
        <v>308.15377815949694</v>
      </c>
      <c r="S211" s="25">
        <f t="shared" si="38"/>
        <v>114.69713287245773</v>
      </c>
      <c r="T211" s="24"/>
      <c r="U211" s="32"/>
      <c r="V211" s="22"/>
      <c r="W211" s="24">
        <f t="shared" si="39"/>
        <v>1383329.2868598006</v>
      </c>
    </row>
    <row r="212" spans="1:25" ht="18" customHeight="1" x14ac:dyDescent="0.25">
      <c r="A212" s="21">
        <v>46233</v>
      </c>
      <c r="B212" s="23">
        <v>816245.7239798198</v>
      </c>
      <c r="C212" s="23">
        <v>5394.8825114330448</v>
      </c>
      <c r="D212" s="25">
        <f t="shared" si="32"/>
        <v>151.30000000000001</v>
      </c>
      <c r="E212" s="23">
        <f t="shared" si="33"/>
        <v>1159.8997399581046</v>
      </c>
      <c r="F212" s="32">
        <v>0.215</v>
      </c>
      <c r="G212" s="23">
        <v>473162.0402694263</v>
      </c>
      <c r="H212" s="23">
        <v>5720.445170224295</v>
      </c>
      <c r="I212" s="25">
        <f t="shared" si="34"/>
        <v>82.714199015891268</v>
      </c>
      <c r="J212" s="23">
        <f t="shared" si="35"/>
        <v>1801.940228620653</v>
      </c>
      <c r="K212" s="32">
        <v>0.315</v>
      </c>
      <c r="L212" s="23">
        <v>525988.01147350855</v>
      </c>
      <c r="M212" s="23">
        <v>3043.3846575011771</v>
      </c>
      <c r="N212" s="25">
        <f t="shared" si="36"/>
        <v>172.82994779417072</v>
      </c>
      <c r="O212" s="23">
        <f t="shared" si="37"/>
        <v>654.32770136275303</v>
      </c>
      <c r="P212" s="32">
        <v>0.215</v>
      </c>
      <c r="Q212" s="23">
        <v>34294.354838709674</v>
      </c>
      <c r="R212" s="23">
        <v>298.99923371968436</v>
      </c>
      <c r="S212" s="25">
        <f t="shared" si="38"/>
        <v>114.69713287245771</v>
      </c>
      <c r="T212" s="24"/>
      <c r="U212" s="32"/>
      <c r="V212" s="22"/>
      <c r="W212" s="24">
        <f t="shared" si="39"/>
        <v>1342233.7354533284</v>
      </c>
    </row>
    <row r="213" spans="1:25" ht="18" customHeight="1" x14ac:dyDescent="0.25">
      <c r="A213" s="21">
        <v>46234</v>
      </c>
      <c r="B213" s="23">
        <v>791254.49687525246</v>
      </c>
      <c r="C213" s="23">
        <v>5229.7058617002804</v>
      </c>
      <c r="D213" s="25">
        <f t="shared" si="32"/>
        <v>151.30000000000001</v>
      </c>
      <c r="E213" s="23">
        <f t="shared" si="33"/>
        <v>1124.3867602655603</v>
      </c>
      <c r="F213" s="32">
        <v>0.215</v>
      </c>
      <c r="G213" s="23">
        <v>458675.10372784385</v>
      </c>
      <c r="H213" s="23">
        <v>5545.3006761236002</v>
      </c>
      <c r="I213" s="25">
        <f t="shared" si="34"/>
        <v>82.714199015891268</v>
      </c>
      <c r="J213" s="23">
        <f t="shared" si="35"/>
        <v>1746.769712978934</v>
      </c>
      <c r="K213" s="32">
        <v>0.315</v>
      </c>
      <c r="L213" s="23">
        <v>509883.68717160361</v>
      </c>
      <c r="M213" s="23">
        <v>2950.2044852715112</v>
      </c>
      <c r="N213" s="25">
        <f t="shared" si="36"/>
        <v>172.82994779417072</v>
      </c>
      <c r="O213" s="23">
        <f t="shared" si="37"/>
        <v>634.2939643333749</v>
      </c>
      <c r="P213" s="32">
        <v>0.215</v>
      </c>
      <c r="Q213" s="23">
        <v>33244.354838709674</v>
      </c>
      <c r="R213" s="23">
        <v>289.84468927987177</v>
      </c>
      <c r="S213" s="25">
        <f t="shared" si="38"/>
        <v>114.69713287245771</v>
      </c>
      <c r="T213" s="24"/>
      <c r="U213" s="32"/>
      <c r="V213" s="22"/>
      <c r="W213" s="24">
        <f t="shared" si="39"/>
        <v>1301138.1840468561</v>
      </c>
    </row>
    <row r="214" spans="1:25" s="18" customFormat="1" ht="18" customHeight="1" x14ac:dyDescent="0.25">
      <c r="A214" s="21">
        <v>46235</v>
      </c>
      <c r="B214" s="23">
        <v>738074.24048822164</v>
      </c>
      <c r="C214" s="23">
        <v>4892.5387999999994</v>
      </c>
      <c r="D214" s="25">
        <f t="shared" si="32"/>
        <v>150.85710520849048</v>
      </c>
      <c r="E214" s="23">
        <f t="shared" si="33"/>
        <v>1051.8958419999999</v>
      </c>
      <c r="F214" s="32">
        <v>0.215</v>
      </c>
      <c r="G214" s="23">
        <v>411232.55890439352</v>
      </c>
      <c r="H214" s="23">
        <v>4829.0455000000002</v>
      </c>
      <c r="I214" s="25">
        <f t="shared" si="34"/>
        <v>85.158145414946603</v>
      </c>
      <c r="J214" s="23">
        <f t="shared" si="35"/>
        <v>1521.1493325000001</v>
      </c>
      <c r="K214" s="32">
        <v>0.315</v>
      </c>
      <c r="L214" s="23">
        <v>450418.26766124589</v>
      </c>
      <c r="M214" s="23">
        <v>2554.4132</v>
      </c>
      <c r="N214" s="25">
        <f t="shared" si="36"/>
        <v>176.32944727236998</v>
      </c>
      <c r="O214" s="23">
        <f t="shared" si="37"/>
        <v>549.19883800000002</v>
      </c>
      <c r="P214" s="32">
        <v>0.215</v>
      </c>
      <c r="Q214" s="23">
        <v>31790</v>
      </c>
      <c r="R214" s="23">
        <v>269.49250000000001</v>
      </c>
      <c r="S214" s="25">
        <f t="shared" si="38"/>
        <v>117.96246648793566</v>
      </c>
      <c r="T214" s="24"/>
      <c r="U214" s="32"/>
      <c r="V214" s="22"/>
      <c r="W214" s="24">
        <f t="shared" si="39"/>
        <v>1188492.5081494674</v>
      </c>
      <c r="X214"/>
      <c r="Y214"/>
    </row>
    <row r="215" spans="1:25" ht="18" customHeight="1" x14ac:dyDescent="0.25">
      <c r="A215" s="21">
        <v>46236</v>
      </c>
      <c r="B215" s="23">
        <v>635918.63626839849</v>
      </c>
      <c r="C215" s="23">
        <v>4215.3707999999997</v>
      </c>
      <c r="D215" s="25">
        <f t="shared" si="32"/>
        <v>150.85710520849045</v>
      </c>
      <c r="E215" s="23">
        <f t="shared" si="33"/>
        <v>906.30472199999997</v>
      </c>
      <c r="F215" s="32">
        <v>0.215</v>
      </c>
      <c r="G215" s="23">
        <v>354314.55767195154</v>
      </c>
      <c r="H215" s="23">
        <v>4160.6655000000001</v>
      </c>
      <c r="I215" s="25">
        <f t="shared" si="34"/>
        <v>85.158145414946603</v>
      </c>
      <c r="J215" s="23">
        <f t="shared" si="35"/>
        <v>1310.6096325000001</v>
      </c>
      <c r="K215" s="32">
        <v>0.315</v>
      </c>
      <c r="L215" s="23">
        <v>388076.63891920494</v>
      </c>
      <c r="M215" s="23">
        <v>2200.8611999999998</v>
      </c>
      <c r="N215" s="25">
        <f t="shared" si="36"/>
        <v>176.32944727237</v>
      </c>
      <c r="O215" s="23">
        <f t="shared" si="37"/>
        <v>473.18515799999994</v>
      </c>
      <c r="P215" s="32">
        <v>0.215</v>
      </c>
      <c r="Q215" s="23">
        <v>27390</v>
      </c>
      <c r="R215" s="23">
        <v>232.1925</v>
      </c>
      <c r="S215" s="25">
        <f t="shared" si="38"/>
        <v>117.96246648793566</v>
      </c>
      <c r="T215" s="24"/>
      <c r="U215" s="32"/>
      <c r="V215" s="22"/>
      <c r="W215" s="24">
        <f t="shared" si="39"/>
        <v>1023995.2751876034</v>
      </c>
    </row>
    <row r="216" spans="1:25" ht="18" customHeight="1" x14ac:dyDescent="0.25">
      <c r="A216" s="21">
        <v>46237</v>
      </c>
      <c r="B216" s="23">
        <v>934723.77861138107</v>
      </c>
      <c r="C216" s="23">
        <v>6196.0871999999999</v>
      </c>
      <c r="D216" s="25">
        <f t="shared" si="32"/>
        <v>150.85710520849045</v>
      </c>
      <c r="E216" s="23">
        <f t="shared" si="33"/>
        <v>1332.1587480000001</v>
      </c>
      <c r="F216" s="32">
        <v>0.215</v>
      </c>
      <c r="G216" s="23">
        <v>520799.71127684443</v>
      </c>
      <c r="H216" s="23">
        <v>6115.6769999999997</v>
      </c>
      <c r="I216" s="25">
        <f t="shared" si="34"/>
        <v>85.158145414946617</v>
      </c>
      <c r="J216" s="23">
        <f t="shared" si="35"/>
        <v>1926.4382549999998</v>
      </c>
      <c r="K216" s="32">
        <v>0.315</v>
      </c>
      <c r="L216" s="23">
        <v>570425.90298967471</v>
      </c>
      <c r="M216" s="23">
        <v>3235.0008000000003</v>
      </c>
      <c r="N216" s="25">
        <f t="shared" si="36"/>
        <v>176.32944727236998</v>
      </c>
      <c r="O216" s="23">
        <f t="shared" si="37"/>
        <v>695.525172</v>
      </c>
      <c r="P216" s="32">
        <v>0.215</v>
      </c>
      <c r="Q216" s="23">
        <v>40260</v>
      </c>
      <c r="R216" s="23">
        <v>341.29500000000002</v>
      </c>
      <c r="S216" s="25">
        <f t="shared" si="38"/>
        <v>117.96246648793566</v>
      </c>
      <c r="T216" s="24"/>
      <c r="U216" s="32"/>
      <c r="V216" s="22"/>
      <c r="W216" s="24">
        <f t="shared" si="39"/>
        <v>1505149.6816010559</v>
      </c>
    </row>
    <row r="217" spans="1:25" ht="18" customHeight="1" x14ac:dyDescent="0.25">
      <c r="A217" s="21">
        <v>46238</v>
      </c>
      <c r="B217" s="23">
        <v>985801.58072129264</v>
      </c>
      <c r="C217" s="23">
        <v>6534.6712000000007</v>
      </c>
      <c r="D217" s="25">
        <f t="shared" si="32"/>
        <v>150.85710520849045</v>
      </c>
      <c r="E217" s="23">
        <f t="shared" si="33"/>
        <v>1404.9543080000001</v>
      </c>
      <c r="F217" s="32">
        <v>0.215</v>
      </c>
      <c r="G217" s="23">
        <v>549258.71189306548</v>
      </c>
      <c r="H217" s="23">
        <v>6449.8670000000002</v>
      </c>
      <c r="I217" s="25">
        <f t="shared" si="34"/>
        <v>85.158145414946617</v>
      </c>
      <c r="J217" s="23">
        <f t="shared" si="35"/>
        <v>2031.7081050000002</v>
      </c>
      <c r="K217" s="32">
        <v>0.315</v>
      </c>
      <c r="L217" s="23">
        <v>601596.71736069524</v>
      </c>
      <c r="M217" s="23">
        <v>3411.7768000000001</v>
      </c>
      <c r="N217" s="25">
        <f t="shared" si="36"/>
        <v>176.32944727237</v>
      </c>
      <c r="O217" s="23">
        <f t="shared" si="37"/>
        <v>733.53201200000001</v>
      </c>
      <c r="P217" s="32">
        <v>0.215</v>
      </c>
      <c r="Q217" s="23">
        <v>42460</v>
      </c>
      <c r="R217" s="23">
        <v>359.94500000000005</v>
      </c>
      <c r="S217" s="25">
        <f t="shared" si="38"/>
        <v>117.96246648793564</v>
      </c>
      <c r="T217" s="24"/>
      <c r="U217" s="32"/>
      <c r="V217" s="22"/>
      <c r="W217" s="24">
        <f t="shared" si="39"/>
        <v>1587398.298081988</v>
      </c>
    </row>
    <row r="218" spans="1:25" ht="18" customHeight="1" x14ac:dyDescent="0.25">
      <c r="A218" s="21">
        <v>46239</v>
      </c>
      <c r="B218" s="23">
        <v>1024109.9323037261</v>
      </c>
      <c r="C218" s="23">
        <v>6788.6091999999999</v>
      </c>
      <c r="D218" s="25">
        <f t="shared" si="32"/>
        <v>150.85710520849045</v>
      </c>
      <c r="E218" s="23">
        <f t="shared" si="33"/>
        <v>1459.550978</v>
      </c>
      <c r="F218" s="32">
        <v>0.215</v>
      </c>
      <c r="G218" s="23">
        <v>570602.96235523117</v>
      </c>
      <c r="H218" s="23">
        <v>6700.5094999999992</v>
      </c>
      <c r="I218" s="25">
        <f t="shared" si="34"/>
        <v>85.158145414946617</v>
      </c>
      <c r="J218" s="23">
        <f t="shared" si="35"/>
        <v>2110.6604924999997</v>
      </c>
      <c r="K218" s="32">
        <v>0.315</v>
      </c>
      <c r="L218" s="23">
        <v>624974.82813896053</v>
      </c>
      <c r="M218" s="23">
        <v>3544.3587999999995</v>
      </c>
      <c r="N218" s="25">
        <f t="shared" si="36"/>
        <v>176.32944727237</v>
      </c>
      <c r="O218" s="23">
        <f t="shared" si="37"/>
        <v>762.0371419999999</v>
      </c>
      <c r="P218" s="32">
        <v>0.215</v>
      </c>
      <c r="Q218" s="23">
        <v>44110</v>
      </c>
      <c r="R218" s="23">
        <v>373.93249999999995</v>
      </c>
      <c r="S218" s="25">
        <f t="shared" si="38"/>
        <v>117.96246648793567</v>
      </c>
      <c r="T218" s="24"/>
      <c r="U218" s="32"/>
      <c r="V218" s="22"/>
      <c r="W218" s="24">
        <f t="shared" si="39"/>
        <v>1649084.7604426867</v>
      </c>
    </row>
    <row r="219" spans="1:25" ht="18" customHeight="1" x14ac:dyDescent="0.25">
      <c r="A219" s="21">
        <v>46240</v>
      </c>
      <c r="B219" s="23">
        <v>1110942.1958905756</v>
      </c>
      <c r="C219" s="23">
        <v>7364.2019999999993</v>
      </c>
      <c r="D219" s="25">
        <f t="shared" si="32"/>
        <v>150.85710520849045</v>
      </c>
      <c r="E219" s="23">
        <f t="shared" si="33"/>
        <v>1583.3034299999999</v>
      </c>
      <c r="F219" s="32">
        <v>0.215</v>
      </c>
      <c r="G219" s="23">
        <v>618983.26340280683</v>
      </c>
      <c r="H219" s="23">
        <v>7268.6324999999997</v>
      </c>
      <c r="I219" s="25">
        <f t="shared" si="34"/>
        <v>85.158145414946603</v>
      </c>
      <c r="J219" s="23">
        <f t="shared" si="35"/>
        <v>2289.6192375000001</v>
      </c>
      <c r="K219" s="32">
        <v>0.315</v>
      </c>
      <c r="L219" s="23">
        <v>677965.21256969532</v>
      </c>
      <c r="M219" s="23">
        <v>3844.8779999999997</v>
      </c>
      <c r="N219" s="25">
        <f t="shared" si="36"/>
        <v>176.32944727236998</v>
      </c>
      <c r="O219" s="23">
        <f t="shared" si="37"/>
        <v>826.6487699999999</v>
      </c>
      <c r="P219" s="32">
        <v>0.215</v>
      </c>
      <c r="Q219" s="23">
        <v>47850</v>
      </c>
      <c r="R219" s="23">
        <v>405.63749999999999</v>
      </c>
      <c r="S219" s="25">
        <f t="shared" si="38"/>
        <v>117.96246648793566</v>
      </c>
      <c r="T219" s="24"/>
      <c r="U219" s="32"/>
      <c r="V219" s="22"/>
      <c r="W219" s="24">
        <f t="shared" si="39"/>
        <v>1788907.4084602711</v>
      </c>
    </row>
    <row r="220" spans="1:25" ht="18" customHeight="1" x14ac:dyDescent="0.25">
      <c r="A220" s="21">
        <v>46241</v>
      </c>
      <c r="B220" s="23">
        <v>967924.34998282359</v>
      </c>
      <c r="C220" s="23">
        <v>6416.1668000000009</v>
      </c>
      <c r="D220" s="25">
        <f t="shared" si="32"/>
        <v>150.85710520849045</v>
      </c>
      <c r="E220" s="23">
        <f t="shared" si="33"/>
        <v>1379.4758620000002</v>
      </c>
      <c r="F220" s="32">
        <v>0.215</v>
      </c>
      <c r="G220" s="23">
        <v>539298.06167738815</v>
      </c>
      <c r="H220" s="23">
        <v>6332.9005000000006</v>
      </c>
      <c r="I220" s="25">
        <f t="shared" si="34"/>
        <v>85.158145414946617</v>
      </c>
      <c r="J220" s="23">
        <f t="shared" si="35"/>
        <v>1994.8636575000003</v>
      </c>
      <c r="K220" s="32">
        <v>0.315</v>
      </c>
      <c r="L220" s="23">
        <v>590686.93233083806</v>
      </c>
      <c r="M220" s="23">
        <v>3349.9052000000001</v>
      </c>
      <c r="N220" s="25">
        <f t="shared" si="36"/>
        <v>176.32944727236998</v>
      </c>
      <c r="O220" s="23">
        <f t="shared" si="37"/>
        <v>720.22961800000007</v>
      </c>
      <c r="P220" s="32">
        <v>0.215</v>
      </c>
      <c r="Q220" s="23">
        <v>41690</v>
      </c>
      <c r="R220" s="23">
        <v>353.41750000000002</v>
      </c>
      <c r="S220" s="25">
        <f t="shared" si="38"/>
        <v>117.96246648793566</v>
      </c>
      <c r="T220" s="24"/>
      <c r="U220" s="32"/>
      <c r="V220" s="22"/>
      <c r="W220" s="24">
        <f t="shared" si="39"/>
        <v>1558611.2823136616</v>
      </c>
    </row>
    <row r="221" spans="1:25" ht="18" customHeight="1" x14ac:dyDescent="0.25">
      <c r="A221" s="21">
        <v>46242</v>
      </c>
      <c r="B221" s="23">
        <v>738074.24048822164</v>
      </c>
      <c r="C221" s="23">
        <v>4892.5387999999994</v>
      </c>
      <c r="D221" s="25">
        <f t="shared" si="32"/>
        <v>150.85710520849048</v>
      </c>
      <c r="E221" s="23">
        <f t="shared" si="33"/>
        <v>1051.8958419999999</v>
      </c>
      <c r="F221" s="32">
        <v>0.215</v>
      </c>
      <c r="G221" s="23">
        <v>411232.55890439352</v>
      </c>
      <c r="H221" s="23">
        <v>4829.0455000000002</v>
      </c>
      <c r="I221" s="25">
        <f t="shared" si="34"/>
        <v>85.158145414946603</v>
      </c>
      <c r="J221" s="23">
        <f t="shared" si="35"/>
        <v>1521.1493325000001</v>
      </c>
      <c r="K221" s="32">
        <v>0.315</v>
      </c>
      <c r="L221" s="23">
        <v>450418.26766124589</v>
      </c>
      <c r="M221" s="23">
        <v>2554.4132</v>
      </c>
      <c r="N221" s="25">
        <f t="shared" si="36"/>
        <v>176.32944727236998</v>
      </c>
      <c r="O221" s="23">
        <f t="shared" si="37"/>
        <v>549.19883800000002</v>
      </c>
      <c r="P221" s="32">
        <v>0.215</v>
      </c>
      <c r="Q221" s="23">
        <v>31790</v>
      </c>
      <c r="R221" s="23">
        <v>269.49250000000001</v>
      </c>
      <c r="S221" s="25">
        <f t="shared" si="38"/>
        <v>117.96246648793566</v>
      </c>
      <c r="T221" s="24"/>
      <c r="U221" s="32"/>
      <c r="V221" s="22"/>
      <c r="W221" s="24">
        <f t="shared" si="39"/>
        <v>1188492.5081494674</v>
      </c>
    </row>
    <row r="222" spans="1:25" ht="18" customHeight="1" x14ac:dyDescent="0.25">
      <c r="A222" s="21">
        <v>46243</v>
      </c>
      <c r="B222" s="23">
        <v>635918.63626839849</v>
      </c>
      <c r="C222" s="23">
        <v>4215.3707999999997</v>
      </c>
      <c r="D222" s="25">
        <f t="shared" si="32"/>
        <v>150.85710520849045</v>
      </c>
      <c r="E222" s="23">
        <f t="shared" si="33"/>
        <v>906.30472199999997</v>
      </c>
      <c r="F222" s="32">
        <v>0.215</v>
      </c>
      <c r="G222" s="23">
        <v>354314.55767195154</v>
      </c>
      <c r="H222" s="23">
        <v>4160.6655000000001</v>
      </c>
      <c r="I222" s="25">
        <f t="shared" si="34"/>
        <v>85.158145414946603</v>
      </c>
      <c r="J222" s="23">
        <f t="shared" si="35"/>
        <v>1310.6096325000001</v>
      </c>
      <c r="K222" s="32">
        <v>0.315</v>
      </c>
      <c r="L222" s="23">
        <v>388076.63891920494</v>
      </c>
      <c r="M222" s="23">
        <v>2200.8611999999998</v>
      </c>
      <c r="N222" s="25">
        <f t="shared" si="36"/>
        <v>176.32944727237</v>
      </c>
      <c r="O222" s="23">
        <f t="shared" si="37"/>
        <v>473.18515799999994</v>
      </c>
      <c r="P222" s="32">
        <v>0.215</v>
      </c>
      <c r="Q222" s="23">
        <v>27390</v>
      </c>
      <c r="R222" s="23">
        <v>232.1925</v>
      </c>
      <c r="S222" s="25">
        <f t="shared" si="38"/>
        <v>117.96246648793566</v>
      </c>
      <c r="T222" s="24"/>
      <c r="U222" s="32"/>
      <c r="V222" s="22"/>
      <c r="W222" s="24">
        <f t="shared" si="39"/>
        <v>1023995.2751876034</v>
      </c>
    </row>
    <row r="223" spans="1:25" ht="18" customHeight="1" x14ac:dyDescent="0.25">
      <c r="A223" s="21">
        <v>46244</v>
      </c>
      <c r="B223" s="23">
        <v>847891.5150245314</v>
      </c>
      <c r="C223" s="23">
        <v>5620.4944000000005</v>
      </c>
      <c r="D223" s="25">
        <f t="shared" si="32"/>
        <v>150.85710520849042</v>
      </c>
      <c r="E223" s="23">
        <f t="shared" si="33"/>
        <v>1208.4062960000001</v>
      </c>
      <c r="F223" s="32">
        <v>0.215</v>
      </c>
      <c r="G223" s="23">
        <v>472419.41022926872</v>
      </c>
      <c r="H223" s="23">
        <v>5547.5540000000001</v>
      </c>
      <c r="I223" s="25">
        <f t="shared" si="34"/>
        <v>85.158145414946603</v>
      </c>
      <c r="J223" s="23">
        <f t="shared" si="35"/>
        <v>1747.4795100000001</v>
      </c>
      <c r="K223" s="32">
        <v>0.315</v>
      </c>
      <c r="L223" s="23">
        <v>517435.51855893992</v>
      </c>
      <c r="M223" s="23">
        <v>2934.4816000000001</v>
      </c>
      <c r="N223" s="25">
        <f t="shared" si="36"/>
        <v>176.32944727236998</v>
      </c>
      <c r="O223" s="23">
        <f t="shared" si="37"/>
        <v>630.913544</v>
      </c>
      <c r="P223" s="32">
        <v>0.215</v>
      </c>
      <c r="Q223" s="23">
        <v>36520</v>
      </c>
      <c r="R223" s="23">
        <v>309.58999999999997</v>
      </c>
      <c r="S223" s="25">
        <f t="shared" si="38"/>
        <v>117.96246648793567</v>
      </c>
      <c r="T223" s="24"/>
      <c r="U223" s="32"/>
      <c r="V223" s="22"/>
      <c r="W223" s="24">
        <f t="shared" si="39"/>
        <v>1365327.0335834713</v>
      </c>
    </row>
    <row r="224" spans="1:25" ht="18" customHeight="1" x14ac:dyDescent="0.25">
      <c r="A224" s="21">
        <v>46245</v>
      </c>
      <c r="B224" s="23">
        <v>873430.41607948719</v>
      </c>
      <c r="C224" s="23">
        <v>5789.7864</v>
      </c>
      <c r="D224" s="25">
        <f t="shared" si="32"/>
        <v>150.85710520849045</v>
      </c>
      <c r="E224" s="23">
        <f t="shared" si="33"/>
        <v>1244.8040759999999</v>
      </c>
      <c r="F224" s="32">
        <v>0.215</v>
      </c>
      <c r="G224" s="23">
        <v>486648.91053737921</v>
      </c>
      <c r="H224" s="23">
        <v>5714.6490000000003</v>
      </c>
      <c r="I224" s="25">
        <f t="shared" si="34"/>
        <v>85.158145414946603</v>
      </c>
      <c r="J224" s="23">
        <f t="shared" si="35"/>
        <v>1800.1144350000002</v>
      </c>
      <c r="K224" s="32">
        <v>0.315</v>
      </c>
      <c r="L224" s="23">
        <v>533020.92574445019</v>
      </c>
      <c r="M224" s="23">
        <v>3022.8696</v>
      </c>
      <c r="N224" s="25">
        <f t="shared" si="36"/>
        <v>176.32944727237</v>
      </c>
      <c r="O224" s="23">
        <f t="shared" si="37"/>
        <v>649.91696400000001</v>
      </c>
      <c r="P224" s="32">
        <v>0.215</v>
      </c>
      <c r="Q224" s="23">
        <v>37620</v>
      </c>
      <c r="R224" s="23">
        <v>318.91500000000002</v>
      </c>
      <c r="S224" s="25">
        <f t="shared" si="38"/>
        <v>117.96246648793564</v>
      </c>
      <c r="T224" s="24"/>
      <c r="U224" s="32"/>
      <c r="V224" s="22"/>
      <c r="W224" s="24">
        <f t="shared" si="39"/>
        <v>1406451.3418239374</v>
      </c>
    </row>
    <row r="225" spans="1:23" ht="18" customHeight="1" x14ac:dyDescent="0.25">
      <c r="A225" s="21">
        <v>46246</v>
      </c>
      <c r="B225" s="23">
        <v>919400.43797840748</v>
      </c>
      <c r="C225" s="23">
        <v>6094.5119999999997</v>
      </c>
      <c r="D225" s="25">
        <f t="shared" si="32"/>
        <v>150.85710520849045</v>
      </c>
      <c r="E225" s="23">
        <f t="shared" si="33"/>
        <v>1310.32008</v>
      </c>
      <c r="F225" s="32">
        <v>0.215</v>
      </c>
      <c r="G225" s="23">
        <v>512262.01109197811</v>
      </c>
      <c r="H225" s="23">
        <v>6015.4199999999992</v>
      </c>
      <c r="I225" s="25">
        <f t="shared" si="34"/>
        <v>85.158145414946617</v>
      </c>
      <c r="J225" s="23">
        <f t="shared" si="35"/>
        <v>1894.8572999999997</v>
      </c>
      <c r="K225" s="32">
        <v>0.315</v>
      </c>
      <c r="L225" s="23">
        <v>561074.65867836855</v>
      </c>
      <c r="M225" s="23">
        <v>3181.9679999999998</v>
      </c>
      <c r="N225" s="25">
        <f t="shared" si="36"/>
        <v>176.32944727236998</v>
      </c>
      <c r="O225" s="23">
        <f t="shared" si="37"/>
        <v>684.12311999999997</v>
      </c>
      <c r="P225" s="32">
        <v>0.215</v>
      </c>
      <c r="Q225" s="23">
        <v>39600</v>
      </c>
      <c r="R225" s="23">
        <v>335.7</v>
      </c>
      <c r="S225" s="25">
        <f t="shared" si="38"/>
        <v>117.96246648793566</v>
      </c>
      <c r="T225" s="24"/>
      <c r="U225" s="32"/>
      <c r="V225" s="22"/>
      <c r="W225" s="24">
        <f t="shared" si="39"/>
        <v>1480475.096656776</v>
      </c>
    </row>
    <row r="226" spans="1:23" ht="18" customHeight="1" x14ac:dyDescent="0.25">
      <c r="A226" s="21">
        <v>46247</v>
      </c>
      <c r="B226" s="23">
        <v>873430.41607948719</v>
      </c>
      <c r="C226" s="23">
        <v>5789.7864</v>
      </c>
      <c r="D226" s="25">
        <f t="shared" si="32"/>
        <v>150.85710520849045</v>
      </c>
      <c r="E226" s="23">
        <f t="shared" si="33"/>
        <v>1244.8040759999999</v>
      </c>
      <c r="F226" s="32">
        <v>0.215</v>
      </c>
      <c r="G226" s="23">
        <v>486648.91053737921</v>
      </c>
      <c r="H226" s="23">
        <v>5714.6490000000003</v>
      </c>
      <c r="I226" s="25">
        <f t="shared" si="34"/>
        <v>85.158145414946603</v>
      </c>
      <c r="J226" s="23">
        <f t="shared" si="35"/>
        <v>1800.1144350000002</v>
      </c>
      <c r="K226" s="32">
        <v>0.315</v>
      </c>
      <c r="L226" s="23">
        <v>533020.92574445019</v>
      </c>
      <c r="M226" s="23">
        <v>3022.8696</v>
      </c>
      <c r="N226" s="25">
        <f t="shared" si="36"/>
        <v>176.32944727237</v>
      </c>
      <c r="O226" s="23">
        <f t="shared" si="37"/>
        <v>649.91696400000001</v>
      </c>
      <c r="P226" s="32">
        <v>0.215</v>
      </c>
      <c r="Q226" s="23">
        <v>37620</v>
      </c>
      <c r="R226" s="23">
        <v>318.91500000000002</v>
      </c>
      <c r="S226" s="25">
        <f t="shared" si="38"/>
        <v>117.96246648793564</v>
      </c>
      <c r="T226" s="24"/>
      <c r="U226" s="32"/>
      <c r="V226" s="22"/>
      <c r="W226" s="24">
        <f t="shared" si="39"/>
        <v>1406451.3418239374</v>
      </c>
    </row>
    <row r="227" spans="1:23" ht="18" customHeight="1" x14ac:dyDescent="0.25">
      <c r="A227" s="21">
        <v>46248</v>
      </c>
      <c r="B227" s="23">
        <v>819798.72386408004</v>
      </c>
      <c r="C227" s="23">
        <v>5434.2731999999996</v>
      </c>
      <c r="D227" s="25">
        <f t="shared" si="32"/>
        <v>150.85710520849045</v>
      </c>
      <c r="E227" s="23">
        <f t="shared" si="33"/>
        <v>1168.3687379999999</v>
      </c>
      <c r="F227" s="32">
        <v>0.215</v>
      </c>
      <c r="G227" s="23">
        <v>456766.95989034709</v>
      </c>
      <c r="H227" s="23">
        <v>5363.749499999999</v>
      </c>
      <c r="I227" s="25">
        <f t="shared" si="34"/>
        <v>85.158145414946617</v>
      </c>
      <c r="J227" s="23">
        <f t="shared" si="35"/>
        <v>1689.5810924999996</v>
      </c>
      <c r="K227" s="32">
        <v>0.315</v>
      </c>
      <c r="L227" s="23">
        <v>500291.57065487863</v>
      </c>
      <c r="M227" s="23">
        <v>2837.2547999999997</v>
      </c>
      <c r="N227" s="25">
        <f t="shared" si="36"/>
        <v>176.32944727237</v>
      </c>
      <c r="O227" s="23">
        <f t="shared" si="37"/>
        <v>610.00978199999997</v>
      </c>
      <c r="P227" s="32">
        <v>0.215</v>
      </c>
      <c r="Q227" s="23">
        <v>35309.999999999993</v>
      </c>
      <c r="R227" s="23">
        <v>299.33249999999998</v>
      </c>
      <c r="S227" s="25">
        <f t="shared" si="38"/>
        <v>117.96246648793564</v>
      </c>
      <c r="T227" s="24"/>
      <c r="U227" s="32"/>
      <c r="V227" s="22"/>
      <c r="W227" s="24">
        <f t="shared" si="39"/>
        <v>1320090.2945189588</v>
      </c>
    </row>
    <row r="228" spans="1:23" ht="18" customHeight="1" x14ac:dyDescent="0.25">
      <c r="A228" s="21">
        <v>46249</v>
      </c>
      <c r="B228" s="23">
        <v>738074.24048822164</v>
      </c>
      <c r="C228" s="23">
        <v>4892.5387999999994</v>
      </c>
      <c r="D228" s="25">
        <f t="shared" si="32"/>
        <v>150.85710520849048</v>
      </c>
      <c r="E228" s="23">
        <f t="shared" si="33"/>
        <v>1051.8958419999999</v>
      </c>
      <c r="F228" s="32">
        <v>0.215</v>
      </c>
      <c r="G228" s="23">
        <v>411232.55890439352</v>
      </c>
      <c r="H228" s="23">
        <v>4829.0455000000002</v>
      </c>
      <c r="I228" s="25">
        <f t="shared" si="34"/>
        <v>85.158145414946603</v>
      </c>
      <c r="J228" s="23">
        <f t="shared" si="35"/>
        <v>1521.1493325000001</v>
      </c>
      <c r="K228" s="32">
        <v>0.315</v>
      </c>
      <c r="L228" s="23">
        <v>450418.26766124589</v>
      </c>
      <c r="M228" s="23">
        <v>2554.4132</v>
      </c>
      <c r="N228" s="25">
        <f t="shared" si="36"/>
        <v>176.32944727236998</v>
      </c>
      <c r="O228" s="23">
        <f t="shared" si="37"/>
        <v>549.19883800000002</v>
      </c>
      <c r="P228" s="32">
        <v>0.215</v>
      </c>
      <c r="Q228" s="23">
        <v>31790</v>
      </c>
      <c r="R228" s="23">
        <v>269.49250000000001</v>
      </c>
      <c r="S228" s="25">
        <f t="shared" si="38"/>
        <v>117.96246648793566</v>
      </c>
      <c r="T228" s="24"/>
      <c r="U228" s="32"/>
      <c r="V228" s="22"/>
      <c r="W228" s="24">
        <f t="shared" si="39"/>
        <v>1188492.5081494674</v>
      </c>
    </row>
    <row r="229" spans="1:23" ht="18" customHeight="1" x14ac:dyDescent="0.25">
      <c r="A229" s="21">
        <v>46250</v>
      </c>
      <c r="B229" s="23">
        <v>635918.63626839849</v>
      </c>
      <c r="C229" s="23">
        <v>4215.3707999999997</v>
      </c>
      <c r="D229" s="25">
        <f t="shared" si="32"/>
        <v>150.85710520849045</v>
      </c>
      <c r="E229" s="23">
        <f t="shared" si="33"/>
        <v>906.30472199999997</v>
      </c>
      <c r="F229" s="32">
        <v>0.215</v>
      </c>
      <c r="G229" s="23">
        <v>354314.55767195154</v>
      </c>
      <c r="H229" s="23">
        <v>4160.6655000000001</v>
      </c>
      <c r="I229" s="25">
        <f t="shared" si="34"/>
        <v>85.158145414946603</v>
      </c>
      <c r="J229" s="23">
        <f t="shared" si="35"/>
        <v>1310.6096325000001</v>
      </c>
      <c r="K229" s="32">
        <v>0.315</v>
      </c>
      <c r="L229" s="23">
        <v>388076.63891920494</v>
      </c>
      <c r="M229" s="23">
        <v>2200.8611999999998</v>
      </c>
      <c r="N229" s="25">
        <f t="shared" si="36"/>
        <v>176.32944727237</v>
      </c>
      <c r="O229" s="23">
        <f t="shared" si="37"/>
        <v>473.18515799999994</v>
      </c>
      <c r="P229" s="32">
        <v>0.215</v>
      </c>
      <c r="Q229" s="23">
        <v>27390</v>
      </c>
      <c r="R229" s="23">
        <v>232.1925</v>
      </c>
      <c r="S229" s="25">
        <f t="shared" si="38"/>
        <v>117.96246648793566</v>
      </c>
      <c r="T229" s="24"/>
      <c r="U229" s="32"/>
      <c r="V229" s="22"/>
      <c r="W229" s="24">
        <f t="shared" si="39"/>
        <v>1023995.2751876034</v>
      </c>
    </row>
    <row r="230" spans="1:23" ht="18" customHeight="1" x14ac:dyDescent="0.25">
      <c r="A230" s="21">
        <v>46251</v>
      </c>
      <c r="B230" s="23">
        <v>827460.39418056677</v>
      </c>
      <c r="C230" s="23">
        <v>5485.0607999999993</v>
      </c>
      <c r="D230" s="25">
        <f t="shared" si="32"/>
        <v>150.85710520849045</v>
      </c>
      <c r="E230" s="23">
        <f t="shared" si="33"/>
        <v>1179.2880719999998</v>
      </c>
      <c r="F230" s="32">
        <v>0.215</v>
      </c>
      <c r="G230" s="23">
        <v>461035.80998278031</v>
      </c>
      <c r="H230" s="23">
        <v>5413.8779999999997</v>
      </c>
      <c r="I230" s="25">
        <f t="shared" si="34"/>
        <v>85.158145414946617</v>
      </c>
      <c r="J230" s="23">
        <f t="shared" si="35"/>
        <v>1705.37157</v>
      </c>
      <c r="K230" s="32">
        <v>0.315</v>
      </c>
      <c r="L230" s="23">
        <v>504967.19281053171</v>
      </c>
      <c r="M230" s="23">
        <v>2863.7711999999997</v>
      </c>
      <c r="N230" s="25">
        <f t="shared" si="36"/>
        <v>176.32944727237</v>
      </c>
      <c r="O230" s="23">
        <f t="shared" si="37"/>
        <v>615.71080799999993</v>
      </c>
      <c r="P230" s="32">
        <v>0.215</v>
      </c>
      <c r="Q230" s="23">
        <v>35640</v>
      </c>
      <c r="R230" s="23">
        <v>302.13</v>
      </c>
      <c r="S230" s="25">
        <f t="shared" si="38"/>
        <v>117.96246648793566</v>
      </c>
      <c r="T230" s="24"/>
      <c r="U230" s="32"/>
      <c r="V230" s="22"/>
      <c r="W230" s="24">
        <f t="shared" si="39"/>
        <v>1332427.5869910985</v>
      </c>
    </row>
    <row r="231" spans="1:23" ht="18" customHeight="1" x14ac:dyDescent="0.25">
      <c r="A231" s="21">
        <v>46252</v>
      </c>
      <c r="B231" s="23">
        <v>860660.96555200929</v>
      </c>
      <c r="C231" s="23">
        <v>5705.1404000000002</v>
      </c>
      <c r="D231" s="25">
        <f t="shared" si="32"/>
        <v>150.85710520849045</v>
      </c>
      <c r="E231" s="23">
        <f t="shared" si="33"/>
        <v>1226.605186</v>
      </c>
      <c r="F231" s="32">
        <v>0.215</v>
      </c>
      <c r="G231" s="23">
        <v>479534.16038332396</v>
      </c>
      <c r="H231" s="23">
        <v>5631.1014999999998</v>
      </c>
      <c r="I231" s="25">
        <f t="shared" si="34"/>
        <v>85.158145414946617</v>
      </c>
      <c r="J231" s="23">
        <f t="shared" si="35"/>
        <v>1773.7969725</v>
      </c>
      <c r="K231" s="32">
        <v>0.315</v>
      </c>
      <c r="L231" s="23">
        <v>525228.22215169505</v>
      </c>
      <c r="M231" s="23">
        <v>2978.6756</v>
      </c>
      <c r="N231" s="25">
        <f t="shared" si="36"/>
        <v>176.32944727237</v>
      </c>
      <c r="O231" s="23">
        <f t="shared" si="37"/>
        <v>640.415254</v>
      </c>
      <c r="P231" s="32">
        <v>0.215</v>
      </c>
      <c r="Q231" s="23">
        <v>37070</v>
      </c>
      <c r="R231" s="23">
        <v>314.2525</v>
      </c>
      <c r="S231" s="25">
        <f t="shared" si="38"/>
        <v>117.96246648793566</v>
      </c>
      <c r="T231" s="24"/>
      <c r="U231" s="32"/>
      <c r="V231" s="22"/>
      <c r="W231" s="24">
        <f t="shared" si="39"/>
        <v>1385889.1877037045</v>
      </c>
    </row>
    <row r="232" spans="1:23" ht="18" customHeight="1" x14ac:dyDescent="0.25">
      <c r="A232" s="21">
        <v>46253</v>
      </c>
      <c r="B232" s="23">
        <v>901523.20723993843</v>
      </c>
      <c r="C232" s="23">
        <v>5976.0075999999999</v>
      </c>
      <c r="D232" s="25">
        <f t="shared" si="32"/>
        <v>150.85710520849045</v>
      </c>
      <c r="E232" s="23">
        <f t="shared" si="33"/>
        <v>1284.8416339999999</v>
      </c>
      <c r="F232" s="32">
        <v>0.215</v>
      </c>
      <c r="G232" s="23">
        <v>502301.36087630072</v>
      </c>
      <c r="H232" s="23">
        <v>5898.4534999999996</v>
      </c>
      <c r="I232" s="25">
        <f t="shared" si="34"/>
        <v>85.158145414946603</v>
      </c>
      <c r="J232" s="23">
        <f t="shared" si="35"/>
        <v>1858.0128524999998</v>
      </c>
      <c r="K232" s="32">
        <v>0.315</v>
      </c>
      <c r="L232" s="23">
        <v>550164.87364851136</v>
      </c>
      <c r="M232" s="23">
        <v>3120.0963999999999</v>
      </c>
      <c r="N232" s="25">
        <f t="shared" si="36"/>
        <v>176.32944727236998</v>
      </c>
      <c r="O232" s="23">
        <f t="shared" si="37"/>
        <v>670.82072599999992</v>
      </c>
      <c r="P232" s="32">
        <v>0.215</v>
      </c>
      <c r="Q232" s="23">
        <v>38830</v>
      </c>
      <c r="R232" s="23">
        <v>329.17249999999996</v>
      </c>
      <c r="S232" s="25">
        <f t="shared" si="38"/>
        <v>117.96246648793567</v>
      </c>
      <c r="T232" s="24"/>
      <c r="U232" s="32"/>
      <c r="V232" s="22"/>
      <c r="W232" s="24">
        <f t="shared" si="39"/>
        <v>1451688.0808884497</v>
      </c>
    </row>
    <row r="233" spans="1:23" ht="18" customHeight="1" x14ac:dyDescent="0.25">
      <c r="A233" s="21">
        <v>46254</v>
      </c>
      <c r="B233" s="23">
        <v>865768.74576300045</v>
      </c>
      <c r="C233" s="23">
        <v>5738.9988000000003</v>
      </c>
      <c r="D233" s="25">
        <f t="shared" si="32"/>
        <v>150.85710520849045</v>
      </c>
      <c r="E233" s="23">
        <f t="shared" si="33"/>
        <v>1233.884742</v>
      </c>
      <c r="F233" s="32">
        <v>0.215</v>
      </c>
      <c r="G233" s="23">
        <v>482380.06044494605</v>
      </c>
      <c r="H233" s="23">
        <v>5664.5204999999996</v>
      </c>
      <c r="I233" s="25">
        <f t="shared" si="34"/>
        <v>85.158145414946617</v>
      </c>
      <c r="J233" s="23">
        <f t="shared" si="35"/>
        <v>1784.3239575</v>
      </c>
      <c r="K233" s="32">
        <v>0.315</v>
      </c>
      <c r="L233" s="23">
        <v>528345.30358879711</v>
      </c>
      <c r="M233" s="23">
        <v>2996.3532</v>
      </c>
      <c r="N233" s="25">
        <f t="shared" si="36"/>
        <v>176.32944727237</v>
      </c>
      <c r="O233" s="23">
        <f t="shared" si="37"/>
        <v>644.21593799999994</v>
      </c>
      <c r="P233" s="32">
        <v>0.215</v>
      </c>
      <c r="Q233" s="23">
        <v>37290</v>
      </c>
      <c r="R233" s="23">
        <v>316.11750000000001</v>
      </c>
      <c r="S233" s="25">
        <f t="shared" si="38"/>
        <v>117.96246648793566</v>
      </c>
      <c r="T233" s="24"/>
      <c r="U233" s="32"/>
      <c r="V233" s="22"/>
      <c r="W233" s="24">
        <f t="shared" si="39"/>
        <v>1394114.0493517974</v>
      </c>
    </row>
    <row r="234" spans="1:23" ht="18" customHeight="1" x14ac:dyDescent="0.25">
      <c r="A234" s="21">
        <v>46255</v>
      </c>
      <c r="B234" s="23">
        <v>819798.72386408004</v>
      </c>
      <c r="C234" s="23">
        <v>5434.2731999999996</v>
      </c>
      <c r="D234" s="25">
        <f t="shared" si="32"/>
        <v>150.85710520849045</v>
      </c>
      <c r="E234" s="23">
        <f t="shared" si="33"/>
        <v>1168.3687379999999</v>
      </c>
      <c r="F234" s="32">
        <v>0.215</v>
      </c>
      <c r="G234" s="23">
        <v>456766.95989034709</v>
      </c>
      <c r="H234" s="23">
        <v>5363.749499999999</v>
      </c>
      <c r="I234" s="25">
        <f t="shared" si="34"/>
        <v>85.158145414946617</v>
      </c>
      <c r="J234" s="23">
        <f t="shared" si="35"/>
        <v>1689.5810924999996</v>
      </c>
      <c r="K234" s="32">
        <v>0.315</v>
      </c>
      <c r="L234" s="23">
        <v>500291.57065487863</v>
      </c>
      <c r="M234" s="23">
        <v>2837.2547999999997</v>
      </c>
      <c r="N234" s="25">
        <f t="shared" si="36"/>
        <v>176.32944727237</v>
      </c>
      <c r="O234" s="23">
        <f t="shared" si="37"/>
        <v>610.00978199999997</v>
      </c>
      <c r="P234" s="32">
        <v>0.215</v>
      </c>
      <c r="Q234" s="23">
        <v>35309.999999999993</v>
      </c>
      <c r="R234" s="23">
        <v>299.33249999999998</v>
      </c>
      <c r="S234" s="25">
        <f t="shared" si="38"/>
        <v>117.96246648793564</v>
      </c>
      <c r="T234" s="24"/>
      <c r="U234" s="32"/>
      <c r="V234" s="22"/>
      <c r="W234" s="24">
        <f t="shared" si="39"/>
        <v>1320090.2945189588</v>
      </c>
    </row>
    <row r="235" spans="1:23" ht="18" customHeight="1" x14ac:dyDescent="0.25">
      <c r="A235" s="21">
        <v>46256</v>
      </c>
      <c r="B235" s="23">
        <v>738074.24048822164</v>
      </c>
      <c r="C235" s="23">
        <v>4892.5387999999994</v>
      </c>
      <c r="D235" s="25">
        <f t="shared" si="32"/>
        <v>150.85710520849048</v>
      </c>
      <c r="E235" s="23">
        <f t="shared" si="33"/>
        <v>1051.8958419999999</v>
      </c>
      <c r="F235" s="32">
        <v>0.215</v>
      </c>
      <c r="G235" s="23">
        <v>411232.55890439352</v>
      </c>
      <c r="H235" s="23">
        <v>4829.0455000000002</v>
      </c>
      <c r="I235" s="25">
        <f t="shared" si="34"/>
        <v>85.158145414946603</v>
      </c>
      <c r="J235" s="23">
        <f t="shared" si="35"/>
        <v>1521.1493325000001</v>
      </c>
      <c r="K235" s="32">
        <v>0.315</v>
      </c>
      <c r="L235" s="23">
        <v>450418.26766124589</v>
      </c>
      <c r="M235" s="23">
        <v>2554.4132</v>
      </c>
      <c r="N235" s="25">
        <f t="shared" si="36"/>
        <v>176.32944727236998</v>
      </c>
      <c r="O235" s="23">
        <f t="shared" si="37"/>
        <v>549.19883800000002</v>
      </c>
      <c r="P235" s="32">
        <v>0.215</v>
      </c>
      <c r="Q235" s="23">
        <v>31790</v>
      </c>
      <c r="R235" s="23">
        <v>269.49250000000001</v>
      </c>
      <c r="S235" s="25">
        <f t="shared" si="38"/>
        <v>117.96246648793566</v>
      </c>
      <c r="T235" s="24"/>
      <c r="U235" s="32"/>
      <c r="V235" s="22"/>
      <c r="W235" s="24">
        <f t="shared" si="39"/>
        <v>1188492.5081494674</v>
      </c>
    </row>
    <row r="236" spans="1:23" ht="18" customHeight="1" x14ac:dyDescent="0.25">
      <c r="A236" s="21">
        <v>46257</v>
      </c>
      <c r="B236" s="23">
        <v>635918.63626839849</v>
      </c>
      <c r="C236" s="23">
        <v>4215.3707999999997</v>
      </c>
      <c r="D236" s="25">
        <f t="shared" si="32"/>
        <v>150.85710520849045</v>
      </c>
      <c r="E236" s="23">
        <f t="shared" si="33"/>
        <v>906.30472199999997</v>
      </c>
      <c r="F236" s="32">
        <v>0.215</v>
      </c>
      <c r="G236" s="23">
        <v>354314.55767195154</v>
      </c>
      <c r="H236" s="23">
        <v>4160.6655000000001</v>
      </c>
      <c r="I236" s="25">
        <f t="shared" si="34"/>
        <v>85.158145414946603</v>
      </c>
      <c r="J236" s="23">
        <f t="shared" si="35"/>
        <v>1310.6096325000001</v>
      </c>
      <c r="K236" s="32">
        <v>0.315</v>
      </c>
      <c r="L236" s="23">
        <v>388076.63891920494</v>
      </c>
      <c r="M236" s="23">
        <v>2200.8611999999998</v>
      </c>
      <c r="N236" s="25">
        <f t="shared" si="36"/>
        <v>176.32944727237</v>
      </c>
      <c r="O236" s="23">
        <f t="shared" si="37"/>
        <v>473.18515799999994</v>
      </c>
      <c r="P236" s="32">
        <v>0.215</v>
      </c>
      <c r="Q236" s="23">
        <v>27390</v>
      </c>
      <c r="R236" s="23">
        <v>232.1925</v>
      </c>
      <c r="S236" s="25">
        <f t="shared" si="38"/>
        <v>117.96246648793566</v>
      </c>
      <c r="T236" s="24"/>
      <c r="U236" s="32"/>
      <c r="V236" s="22"/>
      <c r="W236" s="24">
        <f t="shared" si="39"/>
        <v>1023995.2751876034</v>
      </c>
    </row>
    <row r="237" spans="1:23" ht="18" customHeight="1" x14ac:dyDescent="0.25">
      <c r="A237" s="21">
        <v>46258</v>
      </c>
      <c r="B237" s="23">
        <v>824906.50407507131</v>
      </c>
      <c r="C237" s="23">
        <v>5468.1316000000006</v>
      </c>
      <c r="D237" s="25">
        <f t="shared" si="32"/>
        <v>150.85710520849045</v>
      </c>
      <c r="E237" s="23">
        <f t="shared" si="33"/>
        <v>1175.6482940000001</v>
      </c>
      <c r="F237" s="32">
        <v>0.215</v>
      </c>
      <c r="G237" s="23">
        <v>459612.85995196929</v>
      </c>
      <c r="H237" s="23">
        <v>5397.1685000000007</v>
      </c>
      <c r="I237" s="25">
        <f t="shared" si="34"/>
        <v>85.158145414946603</v>
      </c>
      <c r="J237" s="23">
        <f t="shared" si="35"/>
        <v>1700.1080775000003</v>
      </c>
      <c r="K237" s="32">
        <v>0.315</v>
      </c>
      <c r="L237" s="23">
        <v>503408.65209198074</v>
      </c>
      <c r="M237" s="23">
        <v>2854.9324000000001</v>
      </c>
      <c r="N237" s="25">
        <f t="shared" si="36"/>
        <v>176.32944727237</v>
      </c>
      <c r="O237" s="23">
        <f t="shared" si="37"/>
        <v>613.81046600000002</v>
      </c>
      <c r="P237" s="32">
        <v>0.215</v>
      </c>
      <c r="Q237" s="23">
        <v>35530</v>
      </c>
      <c r="R237" s="23">
        <v>301.19750000000005</v>
      </c>
      <c r="S237" s="25">
        <f t="shared" si="38"/>
        <v>117.96246648793564</v>
      </c>
      <c r="T237" s="24"/>
      <c r="U237" s="32"/>
      <c r="V237" s="22"/>
      <c r="W237" s="24">
        <f t="shared" si="39"/>
        <v>1328315.156167052</v>
      </c>
    </row>
    <row r="238" spans="1:23" ht="18" customHeight="1" x14ac:dyDescent="0.25">
      <c r="A238" s="21">
        <v>46259</v>
      </c>
      <c r="B238" s="23">
        <v>847891.5150245314</v>
      </c>
      <c r="C238" s="23">
        <v>5620.4944000000005</v>
      </c>
      <c r="D238" s="25">
        <f t="shared" si="32"/>
        <v>150.85710520849042</v>
      </c>
      <c r="E238" s="23">
        <f t="shared" si="33"/>
        <v>1208.4062960000001</v>
      </c>
      <c r="F238" s="32">
        <v>0.215</v>
      </c>
      <c r="G238" s="23">
        <v>472419.41022926872</v>
      </c>
      <c r="H238" s="23">
        <v>5547.5540000000001</v>
      </c>
      <c r="I238" s="25">
        <f t="shared" si="34"/>
        <v>85.158145414946603</v>
      </c>
      <c r="J238" s="23">
        <f t="shared" si="35"/>
        <v>1747.4795100000001</v>
      </c>
      <c r="K238" s="32">
        <v>0.315</v>
      </c>
      <c r="L238" s="23">
        <v>517435.51855893992</v>
      </c>
      <c r="M238" s="23">
        <v>2934.4816000000001</v>
      </c>
      <c r="N238" s="25">
        <f t="shared" si="36"/>
        <v>176.32944727236998</v>
      </c>
      <c r="O238" s="23">
        <f t="shared" si="37"/>
        <v>630.913544</v>
      </c>
      <c r="P238" s="32">
        <v>0.215</v>
      </c>
      <c r="Q238" s="23">
        <v>36520</v>
      </c>
      <c r="R238" s="23">
        <v>309.58999999999997</v>
      </c>
      <c r="S238" s="25">
        <f t="shared" si="38"/>
        <v>117.96246648793567</v>
      </c>
      <c r="T238" s="24"/>
      <c r="U238" s="32"/>
      <c r="V238" s="22"/>
      <c r="W238" s="24">
        <f t="shared" si="39"/>
        <v>1365327.0335834713</v>
      </c>
    </row>
    <row r="239" spans="1:23" ht="18" customHeight="1" x14ac:dyDescent="0.25">
      <c r="A239" s="21">
        <v>46260</v>
      </c>
      <c r="B239" s="23">
        <v>881092.08639597404</v>
      </c>
      <c r="C239" s="23">
        <v>5840.5740000000005</v>
      </c>
      <c r="D239" s="25">
        <f t="shared" si="32"/>
        <v>150.85710520849045</v>
      </c>
      <c r="E239" s="23">
        <f t="shared" si="33"/>
        <v>1255.7234100000001</v>
      </c>
      <c r="F239" s="32">
        <v>0.215</v>
      </c>
      <c r="G239" s="23">
        <v>490917.76062981243</v>
      </c>
      <c r="H239" s="23">
        <v>5764.7775000000001</v>
      </c>
      <c r="I239" s="25">
        <f t="shared" si="34"/>
        <v>85.158145414946617</v>
      </c>
      <c r="J239" s="23">
        <f t="shared" si="35"/>
        <v>1815.9049125000001</v>
      </c>
      <c r="K239" s="32">
        <v>0.315</v>
      </c>
      <c r="L239" s="23">
        <v>537696.54790010327</v>
      </c>
      <c r="M239" s="23">
        <v>3049.3860000000004</v>
      </c>
      <c r="N239" s="25">
        <f t="shared" si="36"/>
        <v>176.32944727236998</v>
      </c>
      <c r="O239" s="23">
        <f t="shared" si="37"/>
        <v>655.61799000000008</v>
      </c>
      <c r="P239" s="32">
        <v>0.215</v>
      </c>
      <c r="Q239" s="23">
        <v>37950</v>
      </c>
      <c r="R239" s="23">
        <v>321.71250000000003</v>
      </c>
      <c r="S239" s="25">
        <f t="shared" si="38"/>
        <v>117.96246648793564</v>
      </c>
      <c r="T239" s="24"/>
      <c r="U239" s="32"/>
      <c r="V239" s="22"/>
      <c r="W239" s="24">
        <f t="shared" si="39"/>
        <v>1418788.6342960773</v>
      </c>
    </row>
    <row r="240" spans="1:23" ht="18" customHeight="1" x14ac:dyDescent="0.25">
      <c r="A240" s="21">
        <v>46261</v>
      </c>
      <c r="B240" s="23">
        <v>852999.29523552256</v>
      </c>
      <c r="C240" s="23">
        <v>5654.3527999999997</v>
      </c>
      <c r="D240" s="25">
        <f t="shared" si="32"/>
        <v>150.85710520849045</v>
      </c>
      <c r="E240" s="23">
        <f t="shared" si="33"/>
        <v>1215.6858519999998</v>
      </c>
      <c r="F240" s="32">
        <v>0.215</v>
      </c>
      <c r="G240" s="23">
        <v>475265.3102908908</v>
      </c>
      <c r="H240" s="23">
        <v>5580.973</v>
      </c>
      <c r="I240" s="25">
        <f t="shared" si="34"/>
        <v>85.158145414946603</v>
      </c>
      <c r="J240" s="23">
        <f t="shared" si="35"/>
        <v>1758.0064950000001</v>
      </c>
      <c r="K240" s="32">
        <v>0.315</v>
      </c>
      <c r="L240" s="23">
        <v>520552.59999604197</v>
      </c>
      <c r="M240" s="23">
        <v>2952.1592000000001</v>
      </c>
      <c r="N240" s="25">
        <f t="shared" si="36"/>
        <v>176.32944727236998</v>
      </c>
      <c r="O240" s="23">
        <f t="shared" si="37"/>
        <v>634.71422800000005</v>
      </c>
      <c r="P240" s="32">
        <v>0.215</v>
      </c>
      <c r="Q240" s="23">
        <v>36740</v>
      </c>
      <c r="R240" s="23">
        <v>311.45499999999998</v>
      </c>
      <c r="S240" s="25">
        <f t="shared" si="38"/>
        <v>117.96246648793566</v>
      </c>
      <c r="T240" s="24"/>
      <c r="U240" s="32"/>
      <c r="V240" s="22"/>
      <c r="W240" s="24">
        <f t="shared" si="39"/>
        <v>1373551.8952315645</v>
      </c>
    </row>
    <row r="241" spans="1:25" ht="18" customHeight="1" x14ac:dyDescent="0.25">
      <c r="A241" s="21">
        <v>46262</v>
      </c>
      <c r="B241" s="23">
        <v>814690.94365308888</v>
      </c>
      <c r="C241" s="23">
        <v>5400.4147999999996</v>
      </c>
      <c r="D241" s="25">
        <f t="shared" si="32"/>
        <v>150.85710520849045</v>
      </c>
      <c r="E241" s="23">
        <f t="shared" si="33"/>
        <v>1161.0891819999999</v>
      </c>
      <c r="F241" s="32">
        <v>0.215</v>
      </c>
      <c r="G241" s="23">
        <v>453921.059828725</v>
      </c>
      <c r="H241" s="23">
        <v>5330.3305</v>
      </c>
      <c r="I241" s="25">
        <f t="shared" si="34"/>
        <v>85.158145414946603</v>
      </c>
      <c r="J241" s="23">
        <f t="shared" si="35"/>
        <v>1679.0541075000001</v>
      </c>
      <c r="K241" s="32">
        <v>0.315</v>
      </c>
      <c r="L241" s="23">
        <v>497174.48921777657</v>
      </c>
      <c r="M241" s="23">
        <v>2819.5771999999997</v>
      </c>
      <c r="N241" s="25">
        <f t="shared" si="36"/>
        <v>176.32944727237</v>
      </c>
      <c r="O241" s="23">
        <f t="shared" si="37"/>
        <v>606.20909799999993</v>
      </c>
      <c r="P241" s="32">
        <v>0.215</v>
      </c>
      <c r="Q241" s="23">
        <v>35090</v>
      </c>
      <c r="R241" s="23">
        <v>297.46749999999997</v>
      </c>
      <c r="S241" s="25">
        <f t="shared" si="38"/>
        <v>117.96246648793567</v>
      </c>
      <c r="T241" s="24"/>
      <c r="U241" s="32"/>
      <c r="V241" s="22"/>
      <c r="W241" s="24">
        <f t="shared" si="39"/>
        <v>1311865.4328708653</v>
      </c>
    </row>
    <row r="242" spans="1:25" ht="18" customHeight="1" x14ac:dyDescent="0.25">
      <c r="A242" s="21">
        <v>46263</v>
      </c>
      <c r="B242" s="23">
        <v>738074.24048822164</v>
      </c>
      <c r="C242" s="23">
        <v>4892.5387999999994</v>
      </c>
      <c r="D242" s="25">
        <f t="shared" si="32"/>
        <v>150.85710520849048</v>
      </c>
      <c r="E242" s="23">
        <f t="shared" si="33"/>
        <v>1051.8958419999999</v>
      </c>
      <c r="F242" s="32">
        <v>0.215</v>
      </c>
      <c r="G242" s="23">
        <v>411232.55890439352</v>
      </c>
      <c r="H242" s="23">
        <v>4829.0455000000002</v>
      </c>
      <c r="I242" s="25">
        <f t="shared" si="34"/>
        <v>85.158145414946603</v>
      </c>
      <c r="J242" s="23">
        <f t="shared" si="35"/>
        <v>1521.1493325000001</v>
      </c>
      <c r="K242" s="32">
        <v>0.315</v>
      </c>
      <c r="L242" s="23">
        <v>450418.26766124589</v>
      </c>
      <c r="M242" s="23">
        <v>2554.4132</v>
      </c>
      <c r="N242" s="25">
        <f t="shared" si="36"/>
        <v>176.32944727236998</v>
      </c>
      <c r="O242" s="23">
        <f t="shared" si="37"/>
        <v>549.19883800000002</v>
      </c>
      <c r="P242" s="32">
        <v>0.215</v>
      </c>
      <c r="Q242" s="23">
        <v>31790</v>
      </c>
      <c r="R242" s="23">
        <v>269.49250000000001</v>
      </c>
      <c r="S242" s="25">
        <f t="shared" si="38"/>
        <v>117.96246648793566</v>
      </c>
      <c r="T242" s="24"/>
      <c r="U242" s="32"/>
      <c r="V242" s="22"/>
      <c r="W242" s="24">
        <f t="shared" si="39"/>
        <v>1188492.5081494674</v>
      </c>
    </row>
    <row r="243" spans="1:25" ht="18" customHeight="1" x14ac:dyDescent="0.25">
      <c r="A243" s="21">
        <v>46264</v>
      </c>
      <c r="B243" s="23">
        <v>635918.63626839849</v>
      </c>
      <c r="C243" s="23">
        <v>4215.3707999999997</v>
      </c>
      <c r="D243" s="25">
        <f t="shared" si="32"/>
        <v>150.85710520849045</v>
      </c>
      <c r="E243" s="23">
        <f t="shared" si="33"/>
        <v>906.30472199999997</v>
      </c>
      <c r="F243" s="32">
        <v>0.215</v>
      </c>
      <c r="G243" s="23">
        <v>354314.55767195154</v>
      </c>
      <c r="H243" s="23">
        <v>4160.6655000000001</v>
      </c>
      <c r="I243" s="25">
        <f t="shared" si="34"/>
        <v>85.158145414946603</v>
      </c>
      <c r="J243" s="23">
        <f t="shared" si="35"/>
        <v>1310.6096325000001</v>
      </c>
      <c r="K243" s="32">
        <v>0.315</v>
      </c>
      <c r="L243" s="23">
        <v>388076.63891920494</v>
      </c>
      <c r="M243" s="23">
        <v>2200.8611999999998</v>
      </c>
      <c r="N243" s="25">
        <f t="shared" si="36"/>
        <v>176.32944727237</v>
      </c>
      <c r="O243" s="23">
        <f t="shared" si="37"/>
        <v>473.18515799999994</v>
      </c>
      <c r="P243" s="32">
        <v>0.215</v>
      </c>
      <c r="Q243" s="23">
        <v>27390</v>
      </c>
      <c r="R243" s="23">
        <v>232.1925</v>
      </c>
      <c r="S243" s="25">
        <f t="shared" si="38"/>
        <v>117.96246648793566</v>
      </c>
      <c r="T243" s="24"/>
      <c r="U243" s="32"/>
      <c r="V243" s="22"/>
      <c r="W243" s="24">
        <f t="shared" si="39"/>
        <v>1023995.2751876034</v>
      </c>
    </row>
    <row r="244" spans="1:25" ht="18" customHeight="1" x14ac:dyDescent="0.25">
      <c r="A244" s="21">
        <v>46265</v>
      </c>
      <c r="B244" s="23">
        <v>814690.94365308888</v>
      </c>
      <c r="C244" s="23">
        <v>5400.4147999999996</v>
      </c>
      <c r="D244" s="25">
        <f t="shared" si="32"/>
        <v>150.85710520849045</v>
      </c>
      <c r="E244" s="23">
        <f t="shared" si="33"/>
        <v>1161.0891819999999</v>
      </c>
      <c r="F244" s="32">
        <v>0.215</v>
      </c>
      <c r="G244" s="23">
        <v>453921.059828725</v>
      </c>
      <c r="H244" s="23">
        <v>5330.3305</v>
      </c>
      <c r="I244" s="25">
        <f t="shared" si="34"/>
        <v>85.158145414946603</v>
      </c>
      <c r="J244" s="23">
        <f t="shared" si="35"/>
        <v>1679.0541075000001</v>
      </c>
      <c r="K244" s="32">
        <v>0.315</v>
      </c>
      <c r="L244" s="23">
        <v>497174.48921777657</v>
      </c>
      <c r="M244" s="23">
        <v>2819.5771999999997</v>
      </c>
      <c r="N244" s="25">
        <f t="shared" si="36"/>
        <v>176.32944727237</v>
      </c>
      <c r="O244" s="23">
        <f t="shared" si="37"/>
        <v>606.20909799999993</v>
      </c>
      <c r="P244" s="32">
        <v>0.215</v>
      </c>
      <c r="Q244" s="23">
        <v>35090</v>
      </c>
      <c r="R244" s="23">
        <v>297.46749999999997</v>
      </c>
      <c r="S244" s="25">
        <f t="shared" si="38"/>
        <v>117.96246648793567</v>
      </c>
      <c r="T244" s="24"/>
      <c r="U244" s="32"/>
      <c r="V244" s="22"/>
      <c r="W244" s="24">
        <f t="shared" si="39"/>
        <v>1311865.4328708653</v>
      </c>
    </row>
    <row r="245" spans="1:25" s="18" customFormat="1" ht="18" customHeight="1" x14ac:dyDescent="0.25">
      <c r="A245" s="21">
        <v>46266</v>
      </c>
      <c r="B245" s="23">
        <v>910752.94466666668</v>
      </c>
      <c r="C245" s="23">
        <v>6022.5135600000003</v>
      </c>
      <c r="D245" s="25">
        <f t="shared" si="32"/>
        <v>151.2247229654501</v>
      </c>
      <c r="E245" s="23">
        <f t="shared" si="33"/>
        <v>1294.8404154</v>
      </c>
      <c r="F245" s="32">
        <v>0.215</v>
      </c>
      <c r="G245" s="23">
        <v>502337.85288000002</v>
      </c>
      <c r="H245" s="23">
        <v>6061.4807830082818</v>
      </c>
      <c r="I245" s="25">
        <v>82.87</v>
      </c>
      <c r="J245" s="23">
        <f t="shared" si="35"/>
        <v>1909.3664466476089</v>
      </c>
      <c r="K245" s="32">
        <v>0.315</v>
      </c>
      <c r="L245" s="23">
        <v>508832.2351466667</v>
      </c>
      <c r="M245" s="23">
        <v>2865.0550666666668</v>
      </c>
      <c r="N245" s="25">
        <v>177.6</v>
      </c>
      <c r="O245" s="23">
        <f t="shared" si="37"/>
        <v>615.98683933333336</v>
      </c>
      <c r="P245" s="32">
        <v>0.215</v>
      </c>
      <c r="Q245" s="23">
        <v>38617.333333333336</v>
      </c>
      <c r="R245" s="23">
        <v>340.85739200397347</v>
      </c>
      <c r="S245" s="25">
        <f t="shared" si="38"/>
        <v>113.29469226497855</v>
      </c>
      <c r="T245" s="24"/>
      <c r="U245" s="32"/>
      <c r="V245" s="22"/>
      <c r="W245" s="24">
        <f t="shared" si="39"/>
        <v>1419585.1798133333</v>
      </c>
      <c r="X245"/>
      <c r="Y245"/>
    </row>
    <row r="246" spans="1:25" ht="18" customHeight="1" x14ac:dyDescent="0.25">
      <c r="A246" s="21">
        <v>46267</v>
      </c>
      <c r="B246" s="23">
        <v>949666.61966666672</v>
      </c>
      <c r="C246" s="23">
        <v>6279.8370600000007</v>
      </c>
      <c r="D246" s="25">
        <f t="shared" si="32"/>
        <v>151.2247229654501</v>
      </c>
      <c r="E246" s="23">
        <f t="shared" si="33"/>
        <v>1350.1649679000002</v>
      </c>
      <c r="F246" s="32">
        <v>0.215</v>
      </c>
      <c r="G246" s="23">
        <v>523801.20588000002</v>
      </c>
      <c r="H246" s="23">
        <v>6320.4692327190423</v>
      </c>
      <c r="I246" s="25">
        <v>82.87</v>
      </c>
      <c r="J246" s="23">
        <f t="shared" si="35"/>
        <v>1990.9478083064982</v>
      </c>
      <c r="K246" s="32">
        <v>0.315</v>
      </c>
      <c r="L246" s="23">
        <v>530573.07314666675</v>
      </c>
      <c r="M246" s="23">
        <v>2987.4700666666668</v>
      </c>
      <c r="N246" s="25">
        <v>177.6</v>
      </c>
      <c r="O246" s="23">
        <f t="shared" si="37"/>
        <v>642.30606433333332</v>
      </c>
      <c r="P246" s="32">
        <v>0.215</v>
      </c>
      <c r="Q246" s="23">
        <v>40267.333333333336</v>
      </c>
      <c r="R246" s="23">
        <v>355.42118106604983</v>
      </c>
      <c r="S246" s="25">
        <f t="shared" si="38"/>
        <v>113.29469226497855</v>
      </c>
      <c r="T246" s="24"/>
      <c r="U246" s="32"/>
      <c r="V246" s="22"/>
      <c r="W246" s="24">
        <f t="shared" si="39"/>
        <v>1480239.6928133336</v>
      </c>
    </row>
    <row r="247" spans="1:25" ht="18" customHeight="1" x14ac:dyDescent="0.25">
      <c r="A247" s="21">
        <v>46268</v>
      </c>
      <c r="B247" s="23">
        <v>923724.16966666665</v>
      </c>
      <c r="C247" s="23">
        <v>6108.2880599999999</v>
      </c>
      <c r="D247" s="25">
        <f t="shared" ref="D247:D274" si="40">B247/C247</f>
        <v>151.2247229654501</v>
      </c>
      <c r="E247" s="23">
        <f t="shared" ref="E247:E274" si="41">F247*C247</f>
        <v>1313.2819328999999</v>
      </c>
      <c r="F247" s="32">
        <v>0.215</v>
      </c>
      <c r="G247" s="23">
        <v>509492.30388000002</v>
      </c>
      <c r="H247" s="23">
        <v>6147.810266245202</v>
      </c>
      <c r="I247" s="25">
        <v>82.87</v>
      </c>
      <c r="J247" s="23">
        <f t="shared" ref="J247:J274" si="42">K247*H247</f>
        <v>1936.5602338672386</v>
      </c>
      <c r="K247" s="32">
        <v>0.315</v>
      </c>
      <c r="L247" s="23">
        <v>516079.1811466667</v>
      </c>
      <c r="M247" s="23">
        <v>2905.8600666666666</v>
      </c>
      <c r="N247" s="25">
        <v>177.6</v>
      </c>
      <c r="O247" s="23">
        <f t="shared" ref="O247:O274" si="43">P247*M247</f>
        <v>624.75991433333331</v>
      </c>
      <c r="P247" s="32">
        <v>0.215</v>
      </c>
      <c r="Q247" s="23">
        <v>39167.333333333336</v>
      </c>
      <c r="R247" s="23">
        <v>345.71198835799891</v>
      </c>
      <c r="S247" s="25">
        <f t="shared" si="38"/>
        <v>113.29469226497856</v>
      </c>
      <c r="T247" s="24"/>
      <c r="U247" s="32"/>
      <c r="V247" s="22"/>
      <c r="W247" s="24">
        <f t="shared" si="39"/>
        <v>1439803.3508133334</v>
      </c>
    </row>
    <row r="248" spans="1:25" ht="18" customHeight="1" x14ac:dyDescent="0.25">
      <c r="A248" s="21">
        <v>46269</v>
      </c>
      <c r="B248" s="23">
        <v>978203.31466666679</v>
      </c>
      <c r="C248" s="23">
        <v>6468.5409600000012</v>
      </c>
      <c r="D248" s="25">
        <f t="shared" si="40"/>
        <v>151.2247229654501</v>
      </c>
      <c r="E248" s="23">
        <f t="shared" si="41"/>
        <v>1390.7363064000003</v>
      </c>
      <c r="F248" s="32">
        <v>0.215</v>
      </c>
      <c r="G248" s="23">
        <v>539540.99808000005</v>
      </c>
      <c r="H248" s="23">
        <v>6510.3940958402673</v>
      </c>
      <c r="I248" s="25">
        <v>82.87</v>
      </c>
      <c r="J248" s="23">
        <f t="shared" si="42"/>
        <v>2050.7741401896842</v>
      </c>
      <c r="K248" s="32">
        <v>0.315</v>
      </c>
      <c r="L248" s="23">
        <v>546516.35434666672</v>
      </c>
      <c r="M248" s="23">
        <v>3077.2410666666674</v>
      </c>
      <c r="N248" s="25">
        <v>177.6</v>
      </c>
      <c r="O248" s="23">
        <f t="shared" si="43"/>
        <v>661.60682933333351</v>
      </c>
      <c r="P248" s="32">
        <v>0.215</v>
      </c>
      <c r="Q248" s="23">
        <v>41477.333333333343</v>
      </c>
      <c r="R248" s="23">
        <v>366.10129304490584</v>
      </c>
      <c r="S248" s="25">
        <f t="shared" si="38"/>
        <v>113.29469226497856</v>
      </c>
      <c r="T248" s="24"/>
      <c r="U248" s="32"/>
      <c r="V248" s="22"/>
      <c r="W248" s="24">
        <f t="shared" si="39"/>
        <v>1524719.6690133335</v>
      </c>
    </row>
    <row r="249" spans="1:25" ht="18" customHeight="1" x14ac:dyDescent="0.25">
      <c r="A249" s="21">
        <v>46270</v>
      </c>
      <c r="B249" s="23">
        <v>877027.75966666685</v>
      </c>
      <c r="C249" s="23">
        <v>5799.4998600000008</v>
      </c>
      <c r="D249" s="25">
        <f t="shared" si="40"/>
        <v>151.22472296545013</v>
      </c>
      <c r="E249" s="23">
        <f t="shared" si="41"/>
        <v>1246.8924699000002</v>
      </c>
      <c r="F249" s="32">
        <v>0.215</v>
      </c>
      <c r="G249" s="23">
        <v>483736.28028000006</v>
      </c>
      <c r="H249" s="23">
        <v>5837.0241265922905</v>
      </c>
      <c r="I249" s="25">
        <v>82.87</v>
      </c>
      <c r="J249" s="23">
        <f t="shared" si="42"/>
        <v>1838.6625998765714</v>
      </c>
      <c r="K249" s="32">
        <v>0.315</v>
      </c>
      <c r="L249" s="23">
        <v>489990.17554666672</v>
      </c>
      <c r="M249" s="23">
        <v>2758.9620666666669</v>
      </c>
      <c r="N249" s="25">
        <v>177.6</v>
      </c>
      <c r="O249" s="23">
        <f>P249*M249</f>
        <v>593.17684433333341</v>
      </c>
      <c r="P249" s="32">
        <v>0.215</v>
      </c>
      <c r="Q249" s="23">
        <v>37187.333333333343</v>
      </c>
      <c r="R249" s="23">
        <v>328.23544148350732</v>
      </c>
      <c r="S249" s="25">
        <f t="shared" si="38"/>
        <v>113.29469226497858</v>
      </c>
      <c r="T249" s="24"/>
      <c r="U249" s="32"/>
      <c r="V249" s="22"/>
      <c r="W249" s="24">
        <f t="shared" si="39"/>
        <v>1367017.9352133335</v>
      </c>
    </row>
    <row r="250" spans="1:25" ht="18" customHeight="1" x14ac:dyDescent="0.25">
      <c r="A250" s="21">
        <v>46271</v>
      </c>
      <c r="B250" s="23">
        <v>744721.26466666686</v>
      </c>
      <c r="C250" s="23">
        <v>4924.5999600000005</v>
      </c>
      <c r="D250" s="25">
        <f t="shared" si="40"/>
        <v>151.22472296545013</v>
      </c>
      <c r="E250" s="23">
        <f t="shared" si="41"/>
        <v>1058.7889914</v>
      </c>
      <c r="F250" s="32">
        <v>0.215</v>
      </c>
      <c r="G250" s="23">
        <v>410760.88008000009</v>
      </c>
      <c r="H250" s="23">
        <v>4956.4633975757051</v>
      </c>
      <c r="I250" s="25">
        <v>82.87</v>
      </c>
      <c r="J250" s="23">
        <f t="shared" si="42"/>
        <v>1561.2859702363471</v>
      </c>
      <c r="K250" s="32">
        <v>0.315</v>
      </c>
      <c r="L250" s="23">
        <v>416071.32634666673</v>
      </c>
      <c r="M250" s="23">
        <v>2342.7510666666672</v>
      </c>
      <c r="N250" s="25">
        <v>177.6</v>
      </c>
      <c r="O250" s="23">
        <f t="shared" si="43"/>
        <v>503.6914793333334</v>
      </c>
      <c r="P250" s="32">
        <v>0.215</v>
      </c>
      <c r="Q250" s="23">
        <v>31577.333333333339</v>
      </c>
      <c r="R250" s="23">
        <v>278.71855867244778</v>
      </c>
      <c r="S250" s="25">
        <f t="shared" si="38"/>
        <v>113.29469226497855</v>
      </c>
      <c r="T250" s="24"/>
      <c r="U250" s="32"/>
      <c r="V250" s="22"/>
      <c r="W250" s="24">
        <f t="shared" si="39"/>
        <v>1160792.5910133335</v>
      </c>
    </row>
    <row r="251" spans="1:25" ht="18" customHeight="1" x14ac:dyDescent="0.25">
      <c r="A251" s="21">
        <v>46272</v>
      </c>
      <c r="B251" s="23">
        <v>739532.77466666675</v>
      </c>
      <c r="C251" s="23">
        <v>4890.2901600000005</v>
      </c>
      <c r="D251" s="25">
        <f t="shared" si="40"/>
        <v>151.2247229654501</v>
      </c>
      <c r="E251" s="23">
        <f t="shared" si="41"/>
        <v>1051.4123844000001</v>
      </c>
      <c r="F251" s="32">
        <v>0.215</v>
      </c>
      <c r="G251" s="23">
        <v>407899.09968000004</v>
      </c>
      <c r="H251" s="23">
        <v>4921.9316042809369</v>
      </c>
      <c r="I251" s="25">
        <v>82.87</v>
      </c>
      <c r="J251" s="23">
        <f t="shared" si="42"/>
        <v>1550.4084553484952</v>
      </c>
      <c r="K251" s="32">
        <v>0.315</v>
      </c>
      <c r="L251" s="23">
        <v>413172.54794666672</v>
      </c>
      <c r="M251" s="23">
        <v>2326.429066666667</v>
      </c>
      <c r="N251" s="25">
        <v>177.6</v>
      </c>
      <c r="O251" s="23">
        <f t="shared" si="43"/>
        <v>500.1822493333334</v>
      </c>
      <c r="P251" s="32">
        <v>0.215</v>
      </c>
      <c r="Q251" s="23">
        <v>31357.333333333336</v>
      </c>
      <c r="R251" s="23">
        <v>276.77672013083759</v>
      </c>
      <c r="S251" s="25">
        <f t="shared" si="38"/>
        <v>113.29469226497854</v>
      </c>
      <c r="T251" s="24"/>
      <c r="U251" s="32"/>
      <c r="V251" s="22"/>
      <c r="W251" s="24">
        <f t="shared" si="39"/>
        <v>1152705.3226133334</v>
      </c>
    </row>
    <row r="252" spans="1:25" ht="18" customHeight="1" x14ac:dyDescent="0.25">
      <c r="A252" s="21">
        <v>46273</v>
      </c>
      <c r="B252" s="23">
        <v>1004145.7646666666</v>
      </c>
      <c r="C252" s="23">
        <v>6640.0899600000002</v>
      </c>
      <c r="D252" s="25">
        <f t="shared" si="40"/>
        <v>151.2247229654501</v>
      </c>
      <c r="E252" s="23">
        <f t="shared" si="41"/>
        <v>1427.6193413999999</v>
      </c>
      <c r="F252" s="32">
        <v>0.215</v>
      </c>
      <c r="G252" s="23">
        <v>553849.90008000005</v>
      </c>
      <c r="H252" s="23">
        <v>6683.0530623141058</v>
      </c>
      <c r="I252" s="25">
        <v>82.87</v>
      </c>
      <c r="J252" s="23">
        <f t="shared" si="42"/>
        <v>2105.1617146289432</v>
      </c>
      <c r="K252" s="32">
        <v>0.315</v>
      </c>
      <c r="L252" s="23">
        <v>561010.24634666671</v>
      </c>
      <c r="M252" s="23">
        <v>3158.8510666666666</v>
      </c>
      <c r="N252" s="25">
        <v>177.6</v>
      </c>
      <c r="O252" s="23">
        <f t="shared" si="43"/>
        <v>679.15297933333329</v>
      </c>
      <c r="P252" s="32">
        <v>0.215</v>
      </c>
      <c r="Q252" s="23">
        <v>42577.333333333336</v>
      </c>
      <c r="R252" s="23">
        <v>375.81048575295665</v>
      </c>
      <c r="S252" s="25">
        <f t="shared" si="38"/>
        <v>113.29469226497856</v>
      </c>
      <c r="T252" s="24"/>
      <c r="U252" s="32"/>
      <c r="V252" s="22"/>
      <c r="W252" s="24">
        <f>SUM(B252,L252)</f>
        <v>1565156.0110133332</v>
      </c>
    </row>
    <row r="253" spans="1:25" ht="18" customHeight="1" x14ac:dyDescent="0.25">
      <c r="A253" s="21">
        <v>46274</v>
      </c>
      <c r="B253" s="23">
        <v>973014.82466666668</v>
      </c>
      <c r="C253" s="23">
        <v>6434.2311600000003</v>
      </c>
      <c r="D253" s="25">
        <f t="shared" si="40"/>
        <v>151.2247229654501</v>
      </c>
      <c r="E253" s="23">
        <f t="shared" si="41"/>
        <v>1383.3596994</v>
      </c>
      <c r="F253" s="32">
        <v>0.215</v>
      </c>
      <c r="G253" s="23">
        <v>536679.21768</v>
      </c>
      <c r="H253" s="23">
        <v>6475.8623025454981</v>
      </c>
      <c r="I253" s="25">
        <v>82.87</v>
      </c>
      <c r="J253" s="23">
        <f t="shared" si="42"/>
        <v>2039.8966253018318</v>
      </c>
      <c r="K253" s="32">
        <v>0.315</v>
      </c>
      <c r="L253" s="23">
        <v>543617.57594666665</v>
      </c>
      <c r="M253" s="23">
        <v>3060.9190666666668</v>
      </c>
      <c r="N253" s="25">
        <v>177.6</v>
      </c>
      <c r="O253" s="23">
        <f t="shared" si="43"/>
        <v>658.09759933333339</v>
      </c>
      <c r="P253" s="32">
        <v>0.215</v>
      </c>
      <c r="Q253" s="23">
        <v>41257.333333333336</v>
      </c>
      <c r="R253" s="23">
        <v>364.15945450329559</v>
      </c>
      <c r="S253" s="25">
        <f t="shared" si="38"/>
        <v>113.29469226497856</v>
      </c>
      <c r="T253" s="24"/>
      <c r="U253" s="32"/>
      <c r="V253" s="22"/>
      <c r="W253" s="24">
        <f t="shared" si="39"/>
        <v>1516632.4006133333</v>
      </c>
    </row>
    <row r="254" spans="1:25" ht="18" customHeight="1" x14ac:dyDescent="0.25">
      <c r="A254" s="21">
        <v>46275</v>
      </c>
      <c r="B254" s="23">
        <v>941883.88466666674</v>
      </c>
      <c r="C254" s="23">
        <v>6228.3723600000003</v>
      </c>
      <c r="D254" s="25">
        <f t="shared" si="40"/>
        <v>151.2247229654501</v>
      </c>
      <c r="E254" s="23">
        <f t="shared" si="41"/>
        <v>1339.1000574</v>
      </c>
      <c r="F254" s="32">
        <v>0.215</v>
      </c>
      <c r="G254" s="23">
        <v>519508.53528000001</v>
      </c>
      <c r="H254" s="23">
        <v>6268.6715427768895</v>
      </c>
      <c r="I254" s="25">
        <v>82.87</v>
      </c>
      <c r="J254" s="23">
        <f t="shared" si="42"/>
        <v>1974.6315359747202</v>
      </c>
      <c r="K254" s="32">
        <v>0.315</v>
      </c>
      <c r="L254" s="23">
        <v>526224.90554666671</v>
      </c>
      <c r="M254" s="23">
        <v>2962.9870666666666</v>
      </c>
      <c r="N254" s="25">
        <v>177.6</v>
      </c>
      <c r="O254" s="23">
        <f t="shared" si="43"/>
        <v>637.04221933333326</v>
      </c>
      <c r="P254" s="32">
        <v>0.215</v>
      </c>
      <c r="Q254" s="23">
        <v>39937.333333333336</v>
      </c>
      <c r="R254" s="23">
        <v>352.50842325363453</v>
      </c>
      <c r="S254" s="25">
        <f t="shared" si="38"/>
        <v>113.29469226497855</v>
      </c>
      <c r="T254" s="24"/>
      <c r="U254" s="32"/>
      <c r="V254" s="22"/>
      <c r="W254" s="24">
        <f t="shared" si="39"/>
        <v>1468108.7902133334</v>
      </c>
    </row>
    <row r="255" spans="1:25" ht="18" customHeight="1" x14ac:dyDescent="0.25">
      <c r="A255" s="21">
        <v>46276</v>
      </c>
      <c r="B255" s="23">
        <v>936695.39466666675</v>
      </c>
      <c r="C255" s="23">
        <v>6194.0625600000003</v>
      </c>
      <c r="D255" s="25">
        <f t="shared" si="40"/>
        <v>151.2247229654501</v>
      </c>
      <c r="E255" s="23">
        <f t="shared" si="41"/>
        <v>1331.7234504</v>
      </c>
      <c r="F255" s="32">
        <v>0.215</v>
      </c>
      <c r="G255" s="23">
        <v>516646.75488000002</v>
      </c>
      <c r="H255" s="23">
        <v>6234.1397494821222</v>
      </c>
      <c r="I255" s="25">
        <v>82.87</v>
      </c>
      <c r="J255" s="23">
        <f t="shared" si="42"/>
        <v>1963.7540210868685</v>
      </c>
      <c r="K255" s="32">
        <v>0.315</v>
      </c>
      <c r="L255" s="23">
        <v>523326.12714666669</v>
      </c>
      <c r="M255" s="23">
        <v>2946.6650666666669</v>
      </c>
      <c r="N255" s="25">
        <v>177.6</v>
      </c>
      <c r="O255" s="23">
        <f t="shared" si="43"/>
        <v>633.53298933333338</v>
      </c>
      <c r="P255" s="32">
        <v>0.215</v>
      </c>
      <c r="Q255" s="23">
        <v>39717.333333333336</v>
      </c>
      <c r="R255" s="23">
        <v>350.56658471202439</v>
      </c>
      <c r="S255" s="25">
        <f t="shared" si="38"/>
        <v>113.29469226497855</v>
      </c>
      <c r="T255" s="24"/>
      <c r="U255" s="32"/>
      <c r="V255" s="22"/>
      <c r="W255" s="24">
        <f t="shared" si="39"/>
        <v>1460021.5218133335</v>
      </c>
    </row>
    <row r="256" spans="1:25" ht="18" customHeight="1" x14ac:dyDescent="0.25">
      <c r="A256" s="21">
        <v>46277</v>
      </c>
      <c r="B256" s="23">
        <v>827737.10466666683</v>
      </c>
      <c r="C256" s="23">
        <v>5473.5567600000013</v>
      </c>
      <c r="D256" s="25">
        <f t="shared" si="40"/>
        <v>151.2247229654501</v>
      </c>
      <c r="E256" s="23">
        <f t="shared" si="41"/>
        <v>1176.8147034000003</v>
      </c>
      <c r="F256" s="32">
        <v>0.215</v>
      </c>
      <c r="G256" s="23">
        <v>456549.36648000008</v>
      </c>
      <c r="H256" s="23">
        <v>5508.9720902919944</v>
      </c>
      <c r="I256" s="25">
        <v>82.87</v>
      </c>
      <c r="J256" s="23">
        <f t="shared" si="42"/>
        <v>1735.3262084419782</v>
      </c>
      <c r="K256" s="32">
        <v>0.315</v>
      </c>
      <c r="L256" s="23">
        <v>462451.78074666677</v>
      </c>
      <c r="M256" s="23">
        <v>2603.9030666666672</v>
      </c>
      <c r="N256" s="25">
        <v>177.6</v>
      </c>
      <c r="O256" s="23">
        <f t="shared" si="43"/>
        <v>559.83915933333344</v>
      </c>
      <c r="P256" s="32">
        <v>0.215</v>
      </c>
      <c r="Q256" s="23">
        <v>35097.333333333343</v>
      </c>
      <c r="R256" s="23">
        <v>309.78797533821063</v>
      </c>
      <c r="S256" s="25">
        <f t="shared" si="38"/>
        <v>113.29469226497856</v>
      </c>
      <c r="T256" s="24"/>
      <c r="U256" s="32"/>
      <c r="V256" s="22"/>
      <c r="W256" s="24">
        <f t="shared" si="39"/>
        <v>1290188.8854133335</v>
      </c>
    </row>
    <row r="257" spans="1:23" ht="18" customHeight="1" x14ac:dyDescent="0.25">
      <c r="A257" s="21">
        <v>46278</v>
      </c>
      <c r="B257" s="23">
        <v>643545.70966666681</v>
      </c>
      <c r="C257" s="23">
        <v>4255.558860000001</v>
      </c>
      <c r="D257" s="25">
        <f t="shared" si="40"/>
        <v>151.2247229654501</v>
      </c>
      <c r="E257" s="23">
        <f t="shared" si="41"/>
        <v>914.94515490000015</v>
      </c>
      <c r="F257" s="32">
        <v>0.215</v>
      </c>
      <c r="G257" s="23">
        <v>354956.16228000005</v>
      </c>
      <c r="H257" s="23">
        <v>4283.0934283277284</v>
      </c>
      <c r="I257" s="25">
        <v>82.87</v>
      </c>
      <c r="J257" s="23">
        <f t="shared" si="42"/>
        <v>1349.1744299232344</v>
      </c>
      <c r="K257" s="32">
        <v>0.315</v>
      </c>
      <c r="L257" s="23">
        <v>359545.14754666673</v>
      </c>
      <c r="M257" s="23">
        <v>2024.4720666666669</v>
      </c>
      <c r="N257" s="25">
        <v>177.6</v>
      </c>
      <c r="O257" s="23">
        <f t="shared" si="43"/>
        <v>435.26149433333336</v>
      </c>
      <c r="P257" s="32">
        <v>0.215</v>
      </c>
      <c r="Q257" s="23">
        <v>27287.333333333339</v>
      </c>
      <c r="R257" s="23">
        <v>240.85270711104926</v>
      </c>
      <c r="S257" s="25">
        <f t="shared" si="38"/>
        <v>113.29469226497856</v>
      </c>
      <c r="T257" s="24"/>
      <c r="U257" s="32"/>
      <c r="V257" s="22"/>
      <c r="W257" s="24">
        <f t="shared" si="39"/>
        <v>1003090.8572133335</v>
      </c>
    </row>
    <row r="258" spans="1:23" ht="18" customHeight="1" x14ac:dyDescent="0.25">
      <c r="A258" s="21">
        <v>46279</v>
      </c>
      <c r="B258" s="23">
        <v>921129.92466666678</v>
      </c>
      <c r="C258" s="23">
        <v>6091.1331600000012</v>
      </c>
      <c r="D258" s="25">
        <f t="shared" si="40"/>
        <v>151.2247229654501</v>
      </c>
      <c r="E258" s="23">
        <f t="shared" si="41"/>
        <v>1309.5936294000003</v>
      </c>
      <c r="F258" s="32">
        <v>0.215</v>
      </c>
      <c r="G258" s="23">
        <v>508061.41368000006</v>
      </c>
      <c r="H258" s="23">
        <v>6130.5443695978183</v>
      </c>
      <c r="I258" s="25">
        <v>82.87</v>
      </c>
      <c r="J258" s="23">
        <f t="shared" si="42"/>
        <v>1931.1214764233127</v>
      </c>
      <c r="K258" s="32">
        <v>0.315</v>
      </c>
      <c r="L258" s="23">
        <v>514629.79194666672</v>
      </c>
      <c r="M258" s="23">
        <v>2897.699066666667</v>
      </c>
      <c r="N258" s="25">
        <v>177.6</v>
      </c>
      <c r="O258" s="23">
        <f t="shared" si="43"/>
        <v>623.00529933333337</v>
      </c>
      <c r="P258" s="32">
        <v>0.215</v>
      </c>
      <c r="Q258" s="23">
        <v>39057.333333333343</v>
      </c>
      <c r="R258" s="23">
        <v>344.74106908719386</v>
      </c>
      <c r="S258" s="25">
        <f t="shared" si="38"/>
        <v>113.29469226497856</v>
      </c>
      <c r="T258" s="24"/>
      <c r="U258" s="32"/>
      <c r="V258" s="22"/>
      <c r="W258" s="24">
        <f t="shared" si="39"/>
        <v>1435759.7166133334</v>
      </c>
    </row>
    <row r="259" spans="1:23" ht="18" customHeight="1" x14ac:dyDescent="0.25">
      <c r="A259" s="21">
        <v>46280</v>
      </c>
      <c r="B259" s="23">
        <v>936695.39466666675</v>
      </c>
      <c r="C259" s="23">
        <v>6194.0625600000003</v>
      </c>
      <c r="D259" s="25">
        <f t="shared" si="40"/>
        <v>151.2247229654501</v>
      </c>
      <c r="E259" s="23">
        <f t="shared" si="41"/>
        <v>1331.7234504</v>
      </c>
      <c r="F259" s="32">
        <v>0.215</v>
      </c>
      <c r="G259" s="23">
        <v>516646.75488000002</v>
      </c>
      <c r="H259" s="23">
        <v>6234.1397494821222</v>
      </c>
      <c r="I259" s="25">
        <v>82.87</v>
      </c>
      <c r="J259" s="23">
        <f t="shared" si="42"/>
        <v>1963.7540210868685</v>
      </c>
      <c r="K259" s="32">
        <v>0.315</v>
      </c>
      <c r="L259" s="23">
        <v>523326.12714666669</v>
      </c>
      <c r="M259" s="23">
        <v>2946.6650666666669</v>
      </c>
      <c r="N259" s="25">
        <v>177.6</v>
      </c>
      <c r="O259" s="23">
        <f t="shared" si="43"/>
        <v>633.53298933333338</v>
      </c>
      <c r="P259" s="32">
        <v>0.215</v>
      </c>
      <c r="Q259" s="23">
        <v>39717.333333333336</v>
      </c>
      <c r="R259" s="23">
        <v>350.56658471202439</v>
      </c>
      <c r="S259" s="25">
        <f t="shared" ref="S259:S274" si="44">Q259/R259</f>
        <v>113.29469226497855</v>
      </c>
      <c r="T259" s="24"/>
      <c r="U259" s="32"/>
      <c r="V259" s="22"/>
      <c r="W259" s="24">
        <f t="shared" ref="W259:W274" si="45">SUM(B259,L259)</f>
        <v>1460021.5218133335</v>
      </c>
    </row>
    <row r="260" spans="1:23" ht="18" customHeight="1" x14ac:dyDescent="0.25">
      <c r="A260" s="21">
        <v>46281</v>
      </c>
      <c r="B260" s="23">
        <v>918535.67966666678</v>
      </c>
      <c r="C260" s="23">
        <v>6073.9782600000008</v>
      </c>
      <c r="D260" s="25">
        <f t="shared" si="40"/>
        <v>151.2247229654501</v>
      </c>
      <c r="E260" s="23">
        <f t="shared" si="41"/>
        <v>1305.9053259000002</v>
      </c>
      <c r="F260" s="32">
        <v>0.215</v>
      </c>
      <c r="G260" s="23">
        <v>506630.52348000003</v>
      </c>
      <c r="H260" s="23">
        <v>6113.2784729504338</v>
      </c>
      <c r="I260" s="25">
        <v>82.87</v>
      </c>
      <c r="J260" s="23">
        <f t="shared" si="42"/>
        <v>1925.6827189793867</v>
      </c>
      <c r="K260" s="32">
        <v>0.315</v>
      </c>
      <c r="L260" s="23">
        <v>513180.40274666669</v>
      </c>
      <c r="M260" s="23">
        <v>2889.538066666667</v>
      </c>
      <c r="N260" s="25">
        <v>177.6</v>
      </c>
      <c r="O260" s="23">
        <f t="shared" si="43"/>
        <v>621.25068433333342</v>
      </c>
      <c r="P260" s="32">
        <v>0.215</v>
      </c>
      <c r="Q260" s="23">
        <v>38947.333333333336</v>
      </c>
      <c r="R260" s="23">
        <v>343.77014981638877</v>
      </c>
      <c r="S260" s="25">
        <f t="shared" si="44"/>
        <v>113.29469226497855</v>
      </c>
      <c r="T260" s="24"/>
      <c r="U260" s="32"/>
      <c r="V260" s="22"/>
      <c r="W260" s="24">
        <f t="shared" si="45"/>
        <v>1431716.0824133335</v>
      </c>
    </row>
    <row r="261" spans="1:23" ht="18" customHeight="1" x14ac:dyDescent="0.25">
      <c r="A261" s="21">
        <v>46282</v>
      </c>
      <c r="B261" s="23">
        <v>915941.4346666669</v>
      </c>
      <c r="C261" s="23">
        <v>6056.8233600000012</v>
      </c>
      <c r="D261" s="25">
        <f t="shared" si="40"/>
        <v>151.2247229654501</v>
      </c>
      <c r="E261" s="23">
        <f t="shared" si="41"/>
        <v>1302.2170224000001</v>
      </c>
      <c r="F261" s="32">
        <v>0.215</v>
      </c>
      <c r="G261" s="23">
        <v>505199.63328000013</v>
      </c>
      <c r="H261" s="23">
        <v>6096.012576303051</v>
      </c>
      <c r="I261" s="25">
        <v>82.87</v>
      </c>
      <c r="J261" s="23">
        <f t="shared" si="42"/>
        <v>1920.243961535461</v>
      </c>
      <c r="K261" s="32">
        <v>0.315</v>
      </c>
      <c r="L261" s="23">
        <v>511731.01354666677</v>
      </c>
      <c r="M261" s="23">
        <v>2881.3770666666674</v>
      </c>
      <c r="N261" s="25">
        <v>177.6</v>
      </c>
      <c r="O261" s="23">
        <f t="shared" si="43"/>
        <v>619.49606933333348</v>
      </c>
      <c r="P261" s="32">
        <v>0.215</v>
      </c>
      <c r="Q261" s="23">
        <v>38837.333333333343</v>
      </c>
      <c r="R261" s="23">
        <v>342.79923054558367</v>
      </c>
      <c r="S261" s="25">
        <f t="shared" si="44"/>
        <v>113.29469226497856</v>
      </c>
      <c r="T261" s="24"/>
      <c r="U261" s="32"/>
      <c r="V261" s="22"/>
      <c r="W261" s="24">
        <f t="shared" si="45"/>
        <v>1427672.4482133337</v>
      </c>
    </row>
    <row r="262" spans="1:23" ht="18" customHeight="1" x14ac:dyDescent="0.25">
      <c r="A262" s="21">
        <v>46283</v>
      </c>
      <c r="B262" s="23">
        <v>910752.94466666668</v>
      </c>
      <c r="C262" s="23">
        <v>6022.5135600000003</v>
      </c>
      <c r="D262" s="25">
        <f t="shared" si="40"/>
        <v>151.2247229654501</v>
      </c>
      <c r="E262" s="23">
        <f t="shared" si="41"/>
        <v>1294.8404154</v>
      </c>
      <c r="F262" s="32">
        <v>0.215</v>
      </c>
      <c r="G262" s="23">
        <v>502337.85288000002</v>
      </c>
      <c r="H262" s="23">
        <v>6061.4807830082818</v>
      </c>
      <c r="I262" s="25">
        <v>82.87</v>
      </c>
      <c r="J262" s="23">
        <f t="shared" si="42"/>
        <v>1909.3664466476089</v>
      </c>
      <c r="K262" s="32">
        <v>0.315</v>
      </c>
      <c r="L262" s="23">
        <v>508832.2351466667</v>
      </c>
      <c r="M262" s="23">
        <v>2865.0550666666668</v>
      </c>
      <c r="N262" s="25">
        <v>177.6</v>
      </c>
      <c r="O262" s="23">
        <f t="shared" si="43"/>
        <v>615.98683933333336</v>
      </c>
      <c r="P262" s="32">
        <v>0.215</v>
      </c>
      <c r="Q262" s="23">
        <v>38617.333333333336</v>
      </c>
      <c r="R262" s="23">
        <v>340.85739200397347</v>
      </c>
      <c r="S262" s="25">
        <f t="shared" si="44"/>
        <v>113.29469226497855</v>
      </c>
      <c r="T262" s="24"/>
      <c r="U262" s="32"/>
      <c r="V262" s="22"/>
      <c r="W262" s="24">
        <f t="shared" si="45"/>
        <v>1419585.1798133333</v>
      </c>
    </row>
    <row r="263" spans="1:23" ht="18" customHeight="1" x14ac:dyDescent="0.25">
      <c r="A263" s="21">
        <v>46284</v>
      </c>
      <c r="B263" s="23">
        <v>778446.4496666668</v>
      </c>
      <c r="C263" s="23">
        <v>5147.6136600000009</v>
      </c>
      <c r="D263" s="25">
        <f t="shared" si="40"/>
        <v>151.2247229654501</v>
      </c>
      <c r="E263" s="23">
        <f t="shared" si="41"/>
        <v>1106.7369369000003</v>
      </c>
      <c r="F263" s="32">
        <v>0.215</v>
      </c>
      <c r="G263" s="23">
        <v>429362.45268000005</v>
      </c>
      <c r="H263" s="23">
        <v>5180.9200539916974</v>
      </c>
      <c r="I263" s="25">
        <v>82.87</v>
      </c>
      <c r="J263" s="23">
        <f t="shared" si="42"/>
        <v>1631.9898170073848</v>
      </c>
      <c r="K263" s="32">
        <v>0.315</v>
      </c>
      <c r="L263" s="23">
        <v>434913.38594666671</v>
      </c>
      <c r="M263" s="23">
        <v>2448.844066666667</v>
      </c>
      <c r="N263" s="25">
        <v>177.6</v>
      </c>
      <c r="O263" s="23">
        <f t="shared" si="43"/>
        <v>526.50147433333336</v>
      </c>
      <c r="P263" s="32">
        <v>0.215</v>
      </c>
      <c r="Q263" s="23">
        <v>33007.333333333336</v>
      </c>
      <c r="R263" s="23">
        <v>291.34050919291394</v>
      </c>
      <c r="S263" s="25">
        <f t="shared" si="44"/>
        <v>113.29469226497854</v>
      </c>
      <c r="T263" s="24"/>
      <c r="U263" s="32"/>
      <c r="V263" s="22"/>
      <c r="W263" s="24">
        <f t="shared" si="45"/>
        <v>1213359.8356133336</v>
      </c>
    </row>
    <row r="264" spans="1:23" ht="18" customHeight="1" x14ac:dyDescent="0.25">
      <c r="A264" s="21">
        <v>46285</v>
      </c>
      <c r="B264" s="23">
        <v>620197.50466666673</v>
      </c>
      <c r="C264" s="23">
        <v>4101.1647600000006</v>
      </c>
      <c r="D264" s="25">
        <f t="shared" si="40"/>
        <v>151.2247229654501</v>
      </c>
      <c r="E264" s="23">
        <f t="shared" si="41"/>
        <v>881.75042340000016</v>
      </c>
      <c r="F264" s="32">
        <v>0.215</v>
      </c>
      <c r="G264" s="23">
        <v>342078.15048000007</v>
      </c>
      <c r="H264" s="23">
        <v>4127.7003585012726</v>
      </c>
      <c r="I264" s="25">
        <v>82.87</v>
      </c>
      <c r="J264" s="23">
        <f t="shared" si="42"/>
        <v>1300.2256129279008</v>
      </c>
      <c r="K264" s="32">
        <v>0.315</v>
      </c>
      <c r="L264" s="23">
        <v>346500.64474666672</v>
      </c>
      <c r="M264" s="23">
        <v>1951.0230666666669</v>
      </c>
      <c r="N264" s="25">
        <v>177.6</v>
      </c>
      <c r="O264" s="23">
        <f t="shared" si="43"/>
        <v>419.46995933333335</v>
      </c>
      <c r="P264" s="32">
        <v>0.215</v>
      </c>
      <c r="Q264" s="23">
        <v>26297.333333333336</v>
      </c>
      <c r="R264" s="23">
        <v>232.11443367380343</v>
      </c>
      <c r="S264" s="25">
        <f t="shared" si="44"/>
        <v>113.29469226497855</v>
      </c>
      <c r="T264" s="24"/>
      <c r="U264" s="32"/>
      <c r="V264" s="22"/>
      <c r="W264" s="24">
        <f t="shared" si="45"/>
        <v>966698.14941333351</v>
      </c>
    </row>
    <row r="265" spans="1:23" ht="18" customHeight="1" x14ac:dyDescent="0.25">
      <c r="A265" s="21">
        <v>46286</v>
      </c>
      <c r="B265" s="23">
        <v>874433.51466666674</v>
      </c>
      <c r="C265" s="23">
        <v>5782.3449600000004</v>
      </c>
      <c r="D265" s="25">
        <f t="shared" si="40"/>
        <v>151.2247229654501</v>
      </c>
      <c r="E265" s="23">
        <f t="shared" si="41"/>
        <v>1243.2041664000001</v>
      </c>
      <c r="F265" s="32">
        <v>0.215</v>
      </c>
      <c r="G265" s="23">
        <v>482305.39008000004</v>
      </c>
      <c r="H265" s="23">
        <v>5819.7582299449059</v>
      </c>
      <c r="I265" s="25">
        <v>82.87</v>
      </c>
      <c r="J265" s="23">
        <f t="shared" si="42"/>
        <v>1833.2238424326454</v>
      </c>
      <c r="K265" s="32">
        <v>0.315</v>
      </c>
      <c r="L265" s="23">
        <v>488540.78634666669</v>
      </c>
      <c r="M265" s="23">
        <v>2750.8010666666669</v>
      </c>
      <c r="N265" s="25">
        <v>177.6</v>
      </c>
      <c r="O265" s="23">
        <f t="shared" si="43"/>
        <v>591.42222933333335</v>
      </c>
      <c r="P265" s="32">
        <v>0.215</v>
      </c>
      <c r="Q265" s="23">
        <v>37077.333333333336</v>
      </c>
      <c r="R265" s="23">
        <v>327.26452221270222</v>
      </c>
      <c r="S265" s="25">
        <f t="shared" si="44"/>
        <v>113.29469226497855</v>
      </c>
      <c r="T265" s="24"/>
      <c r="U265" s="32"/>
      <c r="V265" s="22"/>
      <c r="W265" s="24">
        <f t="shared" si="45"/>
        <v>1362974.3010133335</v>
      </c>
    </row>
    <row r="266" spans="1:23" ht="18" customHeight="1" x14ac:dyDescent="0.25">
      <c r="A266" s="21">
        <v>46287</v>
      </c>
      <c r="B266" s="23">
        <v>879622.00466666673</v>
      </c>
      <c r="C266" s="23">
        <v>5816.6547600000004</v>
      </c>
      <c r="D266" s="25">
        <f t="shared" si="40"/>
        <v>151.2247229654501</v>
      </c>
      <c r="E266" s="23">
        <f t="shared" si="41"/>
        <v>1250.5807734</v>
      </c>
      <c r="F266" s="32">
        <v>0.215</v>
      </c>
      <c r="G266" s="23">
        <v>485167.17048000003</v>
      </c>
      <c r="H266" s="23">
        <v>5854.2900232396732</v>
      </c>
      <c r="I266" s="25">
        <v>82.87</v>
      </c>
      <c r="J266" s="23">
        <f t="shared" si="42"/>
        <v>1844.1013573204971</v>
      </c>
      <c r="K266" s="32">
        <v>0.315</v>
      </c>
      <c r="L266" s="23">
        <v>491439.5647466667</v>
      </c>
      <c r="M266" s="23">
        <v>2767.123066666667</v>
      </c>
      <c r="N266" s="25">
        <v>177.6</v>
      </c>
      <c r="O266" s="23">
        <f t="shared" si="43"/>
        <v>594.93145933333335</v>
      </c>
      <c r="P266" s="32">
        <v>0.215</v>
      </c>
      <c r="Q266" s="23">
        <v>37297.333333333336</v>
      </c>
      <c r="R266" s="23">
        <v>329.20636075431241</v>
      </c>
      <c r="S266" s="25">
        <f t="shared" si="44"/>
        <v>113.29469226497855</v>
      </c>
      <c r="T266" s="24"/>
      <c r="U266" s="32"/>
      <c r="V266" s="22"/>
      <c r="W266" s="24">
        <f t="shared" si="45"/>
        <v>1371061.5694133334</v>
      </c>
    </row>
    <row r="267" spans="1:23" ht="18" customHeight="1" x14ac:dyDescent="0.25">
      <c r="A267" s="21">
        <v>46288</v>
      </c>
      <c r="B267" s="23">
        <v>887404.73966666672</v>
      </c>
      <c r="C267" s="23">
        <v>5868.1194600000008</v>
      </c>
      <c r="D267" s="25">
        <f t="shared" si="40"/>
        <v>151.2247229654501</v>
      </c>
      <c r="E267" s="23">
        <f t="shared" si="41"/>
        <v>1261.6456839000002</v>
      </c>
      <c r="F267" s="32">
        <v>0.215</v>
      </c>
      <c r="G267" s="23">
        <v>489459.84108000004</v>
      </c>
      <c r="H267" s="23">
        <v>5906.0877131818261</v>
      </c>
      <c r="I267" s="25">
        <v>82.87</v>
      </c>
      <c r="J267" s="23">
        <f t="shared" si="42"/>
        <v>1860.4176296522753</v>
      </c>
      <c r="K267" s="32">
        <v>0.315</v>
      </c>
      <c r="L267" s="23">
        <v>495787.73234666669</v>
      </c>
      <c r="M267" s="23">
        <v>2791.6060666666667</v>
      </c>
      <c r="N267" s="25">
        <v>177.6</v>
      </c>
      <c r="O267" s="23">
        <f t="shared" si="43"/>
        <v>600.1953043333333</v>
      </c>
      <c r="P267" s="32">
        <v>0.215</v>
      </c>
      <c r="Q267" s="23">
        <v>37627.333333333336</v>
      </c>
      <c r="R267" s="23">
        <v>332.11911856672765</v>
      </c>
      <c r="S267" s="25">
        <f t="shared" si="44"/>
        <v>113.29469226497856</v>
      </c>
      <c r="T267" s="24"/>
      <c r="U267" s="32"/>
      <c r="V267" s="22"/>
      <c r="W267" s="24">
        <f t="shared" si="45"/>
        <v>1383192.4720133333</v>
      </c>
    </row>
    <row r="268" spans="1:23" ht="18" customHeight="1" x14ac:dyDescent="0.25">
      <c r="A268" s="21">
        <v>46289</v>
      </c>
      <c r="B268" s="23">
        <v>895187.47466666682</v>
      </c>
      <c r="C268" s="23">
        <v>5919.5841600000012</v>
      </c>
      <c r="D268" s="25">
        <f t="shared" si="40"/>
        <v>151.2247229654501</v>
      </c>
      <c r="E268" s="23">
        <f t="shared" si="41"/>
        <v>1272.7105944000002</v>
      </c>
      <c r="F268" s="32">
        <v>0.215</v>
      </c>
      <c r="G268" s="23">
        <v>493752.51168000005</v>
      </c>
      <c r="H268" s="23">
        <v>5957.885403123978</v>
      </c>
      <c r="I268" s="25">
        <v>82.87</v>
      </c>
      <c r="J268" s="23">
        <f t="shared" si="42"/>
        <v>1876.7339019840531</v>
      </c>
      <c r="K268" s="32">
        <v>0.315</v>
      </c>
      <c r="L268" s="23">
        <v>500135.89994666673</v>
      </c>
      <c r="M268" s="23">
        <v>2816.0890666666669</v>
      </c>
      <c r="N268" s="25">
        <v>177.6</v>
      </c>
      <c r="O268" s="23">
        <f t="shared" si="43"/>
        <v>605.45914933333336</v>
      </c>
      <c r="P268" s="32">
        <v>0.215</v>
      </c>
      <c r="Q268" s="23">
        <v>37957.333333333336</v>
      </c>
      <c r="R268" s="23">
        <v>335.03187637914294</v>
      </c>
      <c r="S268" s="25">
        <f t="shared" si="44"/>
        <v>113.29469226497855</v>
      </c>
      <c r="T268" s="24"/>
      <c r="U268" s="32"/>
      <c r="V268" s="22"/>
      <c r="W268" s="24">
        <f t="shared" si="45"/>
        <v>1395323.3746133335</v>
      </c>
    </row>
    <row r="269" spans="1:23" ht="18" customHeight="1" x14ac:dyDescent="0.25">
      <c r="A269" s="21">
        <v>46290</v>
      </c>
      <c r="B269" s="23">
        <v>871839.26966666686</v>
      </c>
      <c r="C269" s="23">
        <v>5765.1900600000008</v>
      </c>
      <c r="D269" s="25">
        <f t="shared" si="40"/>
        <v>151.22472296545013</v>
      </c>
      <c r="E269" s="23">
        <f t="shared" si="41"/>
        <v>1239.5158629000002</v>
      </c>
      <c r="F269" s="32">
        <v>0.215</v>
      </c>
      <c r="G269" s="23">
        <v>480874.49988000008</v>
      </c>
      <c r="H269" s="23">
        <v>5802.4923332975222</v>
      </c>
      <c r="I269" s="25">
        <v>82.87</v>
      </c>
      <c r="J269" s="23">
        <f t="shared" si="42"/>
        <v>1827.7850849887195</v>
      </c>
      <c r="K269" s="32">
        <v>0.315</v>
      </c>
      <c r="L269" s="23">
        <v>487091.39714666677</v>
      </c>
      <c r="M269" s="23">
        <v>2742.6400666666673</v>
      </c>
      <c r="N269" s="25">
        <v>177.6</v>
      </c>
      <c r="O269" s="23">
        <f t="shared" si="43"/>
        <v>589.6676143333334</v>
      </c>
      <c r="P269" s="32">
        <v>0.215</v>
      </c>
      <c r="Q269" s="23">
        <v>36967.333333333343</v>
      </c>
      <c r="R269" s="23">
        <v>326.29360294189718</v>
      </c>
      <c r="S269" s="25">
        <f t="shared" si="44"/>
        <v>113.29469226497856</v>
      </c>
      <c r="T269" s="24"/>
      <c r="U269" s="32"/>
      <c r="V269" s="22"/>
      <c r="W269" s="24">
        <f t="shared" si="45"/>
        <v>1358930.6668133335</v>
      </c>
    </row>
    <row r="270" spans="1:23" ht="18" customHeight="1" x14ac:dyDescent="0.25">
      <c r="A270" s="21">
        <v>46291</v>
      </c>
      <c r="B270" s="23">
        <v>778446.4496666668</v>
      </c>
      <c r="C270" s="23">
        <v>5147.6136600000009</v>
      </c>
      <c r="D270" s="25">
        <f t="shared" si="40"/>
        <v>151.2247229654501</v>
      </c>
      <c r="E270" s="23">
        <f t="shared" si="41"/>
        <v>1106.7369369000003</v>
      </c>
      <c r="F270" s="32">
        <v>0.215</v>
      </c>
      <c r="G270" s="23">
        <v>429362.45268000005</v>
      </c>
      <c r="H270" s="23">
        <v>5180.9200539916974</v>
      </c>
      <c r="I270" s="25">
        <v>82.87</v>
      </c>
      <c r="J270" s="23">
        <f t="shared" si="42"/>
        <v>1631.9898170073848</v>
      </c>
      <c r="K270" s="32">
        <v>0.315</v>
      </c>
      <c r="L270" s="23">
        <v>434913.38594666671</v>
      </c>
      <c r="M270" s="23">
        <v>2448.844066666667</v>
      </c>
      <c r="N270" s="25">
        <v>177.6</v>
      </c>
      <c r="O270" s="23">
        <f t="shared" si="43"/>
        <v>526.50147433333336</v>
      </c>
      <c r="P270" s="32">
        <v>0.215</v>
      </c>
      <c r="Q270" s="23">
        <v>33007.333333333336</v>
      </c>
      <c r="R270" s="23">
        <v>291.34050919291394</v>
      </c>
      <c r="S270" s="25">
        <f t="shared" si="44"/>
        <v>113.29469226497854</v>
      </c>
      <c r="T270" s="24"/>
      <c r="U270" s="32"/>
      <c r="V270" s="22"/>
      <c r="W270" s="24">
        <f t="shared" si="45"/>
        <v>1213359.8356133336</v>
      </c>
    </row>
    <row r="271" spans="1:23" ht="18" customHeight="1" x14ac:dyDescent="0.25">
      <c r="A271" s="21">
        <v>46292</v>
      </c>
      <c r="B271" s="23">
        <v>633168.72966666671</v>
      </c>
      <c r="C271" s="23">
        <v>4186.939260000001</v>
      </c>
      <c r="D271" s="25">
        <f t="shared" si="40"/>
        <v>151.22472296545007</v>
      </c>
      <c r="E271" s="23">
        <f t="shared" si="41"/>
        <v>900.19194090000019</v>
      </c>
      <c r="F271" s="32">
        <v>0.215</v>
      </c>
      <c r="G271" s="23">
        <v>349232.60148000007</v>
      </c>
      <c r="H271" s="23">
        <v>4214.0298417381928</v>
      </c>
      <c r="I271" s="25">
        <v>82.87</v>
      </c>
      <c r="J271" s="23">
        <f t="shared" si="42"/>
        <v>1327.4194001475307</v>
      </c>
      <c r="K271" s="32">
        <v>0.315</v>
      </c>
      <c r="L271" s="23">
        <v>353747.59074666671</v>
      </c>
      <c r="M271" s="23">
        <v>1991.8280666666669</v>
      </c>
      <c r="N271" s="25">
        <v>177.6</v>
      </c>
      <c r="O271" s="23">
        <f t="shared" si="43"/>
        <v>428.24303433333336</v>
      </c>
      <c r="P271" s="32">
        <v>0.215</v>
      </c>
      <c r="Q271" s="23">
        <v>26847.333333333336</v>
      </c>
      <c r="R271" s="23">
        <v>236.96903002782889</v>
      </c>
      <c r="S271" s="25">
        <f t="shared" si="44"/>
        <v>113.29469226497855</v>
      </c>
      <c r="T271" s="24"/>
      <c r="U271" s="32"/>
      <c r="V271" s="22"/>
      <c r="W271" s="24">
        <f t="shared" si="45"/>
        <v>986916.32041333336</v>
      </c>
    </row>
    <row r="272" spans="1:23" ht="18" customHeight="1" x14ac:dyDescent="0.25">
      <c r="A272" s="21">
        <v>46293</v>
      </c>
      <c r="B272" s="23">
        <v>889998.98466666683</v>
      </c>
      <c r="C272" s="23">
        <v>5885.2743600000013</v>
      </c>
      <c r="D272" s="25">
        <f t="shared" si="40"/>
        <v>151.2247229654501</v>
      </c>
      <c r="E272" s="23">
        <f t="shared" si="41"/>
        <v>1265.3339874000003</v>
      </c>
      <c r="F272" s="32">
        <v>0.215</v>
      </c>
      <c r="G272" s="23">
        <v>490890.73128000007</v>
      </c>
      <c r="H272" s="23">
        <v>5923.3536098292107</v>
      </c>
      <c r="I272" s="25">
        <v>82.87</v>
      </c>
      <c r="J272" s="23">
        <f t="shared" si="42"/>
        <v>1865.8563870962014</v>
      </c>
      <c r="K272" s="32">
        <v>0.315</v>
      </c>
      <c r="L272" s="23">
        <v>497237.12154666678</v>
      </c>
      <c r="M272" s="23">
        <v>2799.7670666666672</v>
      </c>
      <c r="N272" s="25">
        <v>177.6</v>
      </c>
      <c r="O272" s="23">
        <f t="shared" si="43"/>
        <v>601.94991933333347</v>
      </c>
      <c r="P272" s="32">
        <v>0.215</v>
      </c>
      <c r="Q272" s="23">
        <v>37737.333333333343</v>
      </c>
      <c r="R272" s="23">
        <v>333.0900378375328</v>
      </c>
      <c r="S272" s="25">
        <f t="shared" si="44"/>
        <v>113.29469226497856</v>
      </c>
      <c r="T272" s="24"/>
      <c r="U272" s="32"/>
      <c r="V272" s="22"/>
      <c r="W272" s="24">
        <f t="shared" si="45"/>
        <v>1387236.1062133336</v>
      </c>
    </row>
    <row r="273" spans="1:25" ht="18" customHeight="1" x14ac:dyDescent="0.25">
      <c r="A273" s="21">
        <v>46294</v>
      </c>
      <c r="B273" s="23">
        <v>895187.47466666682</v>
      </c>
      <c r="C273" s="23">
        <v>5919.5841600000012</v>
      </c>
      <c r="D273" s="25">
        <f t="shared" si="40"/>
        <v>151.2247229654501</v>
      </c>
      <c r="E273" s="23">
        <f t="shared" si="41"/>
        <v>1272.7105944000002</v>
      </c>
      <c r="F273" s="32">
        <v>0.215</v>
      </c>
      <c r="G273" s="23">
        <v>493752.51168000005</v>
      </c>
      <c r="H273" s="23">
        <v>5957.885403123978</v>
      </c>
      <c r="I273" s="25">
        <v>82.87</v>
      </c>
      <c r="J273" s="23">
        <f t="shared" si="42"/>
        <v>1876.7339019840531</v>
      </c>
      <c r="K273" s="32">
        <v>0.315</v>
      </c>
      <c r="L273" s="23">
        <v>500135.89994666673</v>
      </c>
      <c r="M273" s="23">
        <v>2816.0890666666669</v>
      </c>
      <c r="N273" s="25">
        <v>177.6</v>
      </c>
      <c r="O273" s="23">
        <f t="shared" si="43"/>
        <v>605.45914933333336</v>
      </c>
      <c r="P273" s="32">
        <v>0.215</v>
      </c>
      <c r="Q273" s="23">
        <v>37957.333333333336</v>
      </c>
      <c r="R273" s="23">
        <v>335.03187637914294</v>
      </c>
      <c r="S273" s="25">
        <f t="shared" si="44"/>
        <v>113.29469226497855</v>
      </c>
      <c r="T273" s="24"/>
      <c r="U273" s="32"/>
      <c r="V273" s="22"/>
      <c r="W273" s="24">
        <f t="shared" si="45"/>
        <v>1395323.3746133335</v>
      </c>
    </row>
    <row r="274" spans="1:25" ht="18" customHeight="1" x14ac:dyDescent="0.25">
      <c r="A274" s="21">
        <v>46295</v>
      </c>
      <c r="B274" s="23">
        <v>884810.49466666672</v>
      </c>
      <c r="C274" s="23">
        <v>5850.9645600000003</v>
      </c>
      <c r="D274" s="25">
        <f t="shared" si="40"/>
        <v>151.2247229654501</v>
      </c>
      <c r="E274" s="23">
        <f t="shared" si="41"/>
        <v>1257.9573804000001</v>
      </c>
      <c r="F274" s="32">
        <v>0.215</v>
      </c>
      <c r="G274" s="23">
        <v>488028.95088000002</v>
      </c>
      <c r="H274" s="23">
        <v>5888.8218165344415</v>
      </c>
      <c r="I274" s="25">
        <v>82.87</v>
      </c>
      <c r="J274" s="23">
        <f t="shared" si="42"/>
        <v>1854.978872208349</v>
      </c>
      <c r="K274" s="32">
        <v>0.315</v>
      </c>
      <c r="L274" s="23">
        <v>494338.34314666665</v>
      </c>
      <c r="M274" s="23">
        <v>2783.4450666666667</v>
      </c>
      <c r="N274" s="25">
        <v>177.6</v>
      </c>
      <c r="O274" s="23">
        <f t="shared" si="43"/>
        <v>598.44068933333335</v>
      </c>
      <c r="P274" s="32">
        <v>0.215</v>
      </c>
      <c r="Q274" s="23">
        <v>37517.333333333336</v>
      </c>
      <c r="R274" s="23">
        <v>331.14819929592255</v>
      </c>
      <c r="S274" s="25">
        <f t="shared" si="44"/>
        <v>113.29469226497856</v>
      </c>
      <c r="T274" s="24"/>
      <c r="U274" s="32"/>
      <c r="V274" s="22"/>
      <c r="W274" s="24">
        <f t="shared" si="45"/>
        <v>1379148.8378133334</v>
      </c>
    </row>
    <row r="275" spans="1:25" s="18" customFormat="1" ht="18" customHeight="1" x14ac:dyDescent="0.25">
      <c r="A275" s="21">
        <v>46296</v>
      </c>
      <c r="B275" s="24"/>
      <c r="C275" s="24"/>
      <c r="D275" s="26"/>
      <c r="E275" s="24"/>
      <c r="F275" s="32"/>
      <c r="G275" s="24"/>
      <c r="H275" s="24"/>
      <c r="I275" s="26"/>
      <c r="J275" s="24"/>
      <c r="K275" s="32"/>
      <c r="L275" s="24"/>
      <c r="M275" s="24"/>
      <c r="N275" s="26"/>
      <c r="O275" s="24"/>
      <c r="P275" s="32"/>
      <c r="Q275" s="24"/>
      <c r="R275" s="24"/>
      <c r="S275" s="26"/>
      <c r="T275" s="24"/>
      <c r="U275" s="32"/>
      <c r="V275" s="22"/>
      <c r="W275" s="24"/>
      <c r="X275"/>
      <c r="Y275"/>
    </row>
    <row r="276" spans="1:25" ht="18" customHeight="1" x14ac:dyDescent="0.25">
      <c r="A276" s="21">
        <v>46297</v>
      </c>
      <c r="B276" s="24"/>
      <c r="C276" s="24"/>
      <c r="D276" s="26"/>
      <c r="E276" s="24"/>
      <c r="F276" s="32"/>
      <c r="G276" s="24"/>
      <c r="H276" s="24"/>
      <c r="I276" s="26"/>
      <c r="J276" s="24"/>
      <c r="K276" s="32"/>
      <c r="L276" s="24"/>
      <c r="M276" s="24"/>
      <c r="N276" s="26"/>
      <c r="O276" s="24"/>
      <c r="P276" s="32"/>
      <c r="Q276" s="24"/>
      <c r="R276" s="24"/>
      <c r="S276" s="26"/>
      <c r="T276" s="24"/>
      <c r="U276" s="32"/>
      <c r="V276" s="22"/>
      <c r="W276" s="24"/>
    </row>
    <row r="277" spans="1:25" ht="18" customHeight="1" x14ac:dyDescent="0.25">
      <c r="A277" s="21">
        <v>46298</v>
      </c>
      <c r="B277" s="24"/>
      <c r="C277" s="24"/>
      <c r="D277" s="26"/>
      <c r="E277" s="24"/>
      <c r="F277" s="32"/>
      <c r="G277" s="24"/>
      <c r="H277" s="24"/>
      <c r="I277" s="26"/>
      <c r="J277" s="24"/>
      <c r="K277" s="32"/>
      <c r="L277" s="24"/>
      <c r="M277" s="24"/>
      <c r="N277" s="26"/>
      <c r="O277" s="24"/>
      <c r="P277" s="32"/>
      <c r="Q277" s="24"/>
      <c r="R277" s="24"/>
      <c r="S277" s="26"/>
      <c r="T277" s="24"/>
      <c r="U277" s="32"/>
      <c r="V277" s="22"/>
      <c r="W277" s="24"/>
    </row>
    <row r="278" spans="1:25" ht="18" customHeight="1" x14ac:dyDescent="0.25">
      <c r="A278" s="21">
        <v>46299</v>
      </c>
      <c r="B278" s="24"/>
      <c r="C278" s="24"/>
      <c r="D278" s="26"/>
      <c r="E278" s="24"/>
      <c r="F278" s="32"/>
      <c r="G278" s="24"/>
      <c r="H278" s="24"/>
      <c r="I278" s="26"/>
      <c r="J278" s="24"/>
      <c r="K278" s="32"/>
      <c r="L278" s="24"/>
      <c r="M278" s="24"/>
      <c r="N278" s="26"/>
      <c r="O278" s="24"/>
      <c r="P278" s="32"/>
      <c r="Q278" s="24"/>
      <c r="R278" s="24"/>
      <c r="S278" s="26"/>
      <c r="T278" s="24"/>
      <c r="U278" s="32"/>
      <c r="V278" s="22"/>
      <c r="W278" s="24"/>
    </row>
    <row r="279" spans="1:25" ht="18" customHeight="1" x14ac:dyDescent="0.25">
      <c r="A279" s="21">
        <v>46300</v>
      </c>
      <c r="B279" s="24"/>
      <c r="C279" s="24"/>
      <c r="D279" s="26"/>
      <c r="E279" s="24"/>
      <c r="F279" s="32"/>
      <c r="G279" s="24"/>
      <c r="H279" s="24"/>
      <c r="I279" s="26"/>
      <c r="J279" s="24"/>
      <c r="K279" s="32"/>
      <c r="L279" s="24"/>
      <c r="M279" s="24"/>
      <c r="N279" s="26"/>
      <c r="O279" s="24"/>
      <c r="P279" s="32"/>
      <c r="Q279" s="24"/>
      <c r="R279" s="24"/>
      <c r="S279" s="26"/>
      <c r="T279" s="24"/>
      <c r="U279" s="32"/>
      <c r="V279" s="22"/>
      <c r="W279" s="24"/>
    </row>
    <row r="280" spans="1:25" ht="18" customHeight="1" x14ac:dyDescent="0.25">
      <c r="A280" s="21">
        <v>46301</v>
      </c>
      <c r="B280" s="24"/>
      <c r="C280" s="24"/>
      <c r="D280" s="26"/>
      <c r="E280" s="24"/>
      <c r="F280" s="32"/>
      <c r="G280" s="24"/>
      <c r="H280" s="24"/>
      <c r="I280" s="26"/>
      <c r="J280" s="24"/>
      <c r="K280" s="32"/>
      <c r="L280" s="24"/>
      <c r="M280" s="24"/>
      <c r="N280" s="26"/>
      <c r="O280" s="24"/>
      <c r="P280" s="32"/>
      <c r="Q280" s="24"/>
      <c r="R280" s="24"/>
      <c r="S280" s="26"/>
      <c r="T280" s="24"/>
      <c r="U280" s="32"/>
      <c r="V280" s="22"/>
      <c r="W280" s="24"/>
    </row>
    <row r="281" spans="1:25" ht="18" customHeight="1" x14ac:dyDescent="0.25">
      <c r="A281" s="21">
        <v>46302</v>
      </c>
      <c r="B281" s="24"/>
      <c r="C281" s="24"/>
      <c r="D281" s="26"/>
      <c r="E281" s="24"/>
      <c r="F281" s="32"/>
      <c r="G281" s="24"/>
      <c r="H281" s="24"/>
      <c r="I281" s="26"/>
      <c r="J281" s="24"/>
      <c r="K281" s="32"/>
      <c r="L281" s="24"/>
      <c r="M281" s="24"/>
      <c r="N281" s="26"/>
      <c r="O281" s="24"/>
      <c r="P281" s="32"/>
      <c r="Q281" s="24"/>
      <c r="R281" s="24"/>
      <c r="S281" s="26"/>
      <c r="T281" s="24"/>
      <c r="U281" s="32"/>
      <c r="V281" s="22"/>
      <c r="W281" s="24"/>
    </row>
    <row r="282" spans="1:25" ht="18" customHeight="1" x14ac:dyDescent="0.25">
      <c r="A282" s="21">
        <v>46303</v>
      </c>
      <c r="B282" s="24"/>
      <c r="C282" s="24"/>
      <c r="D282" s="26"/>
      <c r="E282" s="24"/>
      <c r="F282" s="32"/>
      <c r="G282" s="24"/>
      <c r="H282" s="24"/>
      <c r="I282" s="26"/>
      <c r="J282" s="24"/>
      <c r="K282" s="32"/>
      <c r="L282" s="24"/>
      <c r="M282" s="24"/>
      <c r="N282" s="26"/>
      <c r="O282" s="24"/>
      <c r="P282" s="32"/>
      <c r="Q282" s="24"/>
      <c r="R282" s="24"/>
      <c r="S282" s="26"/>
      <c r="T282" s="24"/>
      <c r="U282" s="32"/>
      <c r="V282" s="22"/>
      <c r="W282" s="2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CA65-38D0-400F-88B8-10C109749FCC}">
  <dimension ref="A1:F281"/>
  <sheetViews>
    <sheetView workbookViewId="0">
      <pane ySplit="1" topLeftCell="A237" activePane="bottomLeft" state="frozen"/>
      <selection pane="bottomLeft" activeCell="J253" sqref="J253"/>
    </sheetView>
  </sheetViews>
  <sheetFormatPr defaultRowHeight="12" x14ac:dyDescent="0.2"/>
  <cols>
    <col min="1" max="1" width="9.5703125" style="1" bestFit="1" customWidth="1"/>
    <col min="2" max="2" width="14.42578125" style="1" bestFit="1" customWidth="1"/>
    <col min="3" max="3" width="17.28515625" style="1" bestFit="1" customWidth="1"/>
    <col min="4" max="4" width="14.42578125" style="1" bestFit="1" customWidth="1"/>
    <col min="5" max="5" width="17.42578125" style="1" bestFit="1" customWidth="1"/>
    <col min="6" max="6" width="14.28515625" style="1" bestFit="1" customWidth="1"/>
    <col min="7" max="16384" width="9.140625" style="1"/>
  </cols>
  <sheetData>
    <row r="1" spans="1:6" x14ac:dyDescent="0.2">
      <c r="A1" s="3" t="s">
        <v>0</v>
      </c>
      <c r="B1" s="1" t="s">
        <v>22</v>
      </c>
      <c r="C1" s="1" t="s">
        <v>23</v>
      </c>
      <c r="D1" s="6" t="s">
        <v>24</v>
      </c>
      <c r="E1" s="6" t="s">
        <v>23</v>
      </c>
      <c r="F1" s="9" t="s">
        <v>25</v>
      </c>
    </row>
    <row r="2" spans="1:6" x14ac:dyDescent="0.2">
      <c r="A2" s="2">
        <v>46023</v>
      </c>
      <c r="B2" s="4">
        <v>18122.489844999174</v>
      </c>
      <c r="C2" s="5">
        <v>7.9200000000000007E-2</v>
      </c>
      <c r="D2" s="4">
        <v>37871.566564669563</v>
      </c>
      <c r="E2" s="5">
        <v>2.3E-2</v>
      </c>
      <c r="F2" s="9">
        <f t="shared" ref="F2:F64" si="0">SUM(D2,B2)</f>
        <v>55994.056409668738</v>
      </c>
    </row>
    <row r="3" spans="1:6" x14ac:dyDescent="0.2">
      <c r="A3" s="2">
        <v>46024</v>
      </c>
      <c r="B3" s="4">
        <v>42617.929844999169</v>
      </c>
      <c r="C3" s="5">
        <v>7.9200000000000007E-2</v>
      </c>
      <c r="D3" s="4">
        <v>89061.038564669565</v>
      </c>
      <c r="E3" s="5">
        <v>2.3E-2</v>
      </c>
      <c r="F3" s="9">
        <f t="shared" si="0"/>
        <v>131678.96840966874</v>
      </c>
    </row>
    <row r="4" spans="1:6" x14ac:dyDescent="0.2">
      <c r="A4" s="2">
        <v>46025</v>
      </c>
      <c r="B4" s="4">
        <v>41086.964844999173</v>
      </c>
      <c r="C4" s="5">
        <v>7.9200000000000007E-2</v>
      </c>
      <c r="D4" s="4">
        <v>85861.696564669575</v>
      </c>
      <c r="E4" s="5">
        <v>2.3E-2</v>
      </c>
      <c r="F4" s="9">
        <f t="shared" si="0"/>
        <v>126948.66140966874</v>
      </c>
    </row>
    <row r="5" spans="1:6" x14ac:dyDescent="0.2">
      <c r="A5" s="2">
        <v>46026</v>
      </c>
      <c r="B5" s="4">
        <v>34963.104844999172</v>
      </c>
      <c r="C5" s="5">
        <v>7.9200000000000007E-2</v>
      </c>
      <c r="D5" s="4">
        <v>73064.328564669573</v>
      </c>
      <c r="E5" s="5">
        <v>2.3E-2</v>
      </c>
      <c r="F5" s="9">
        <f t="shared" si="0"/>
        <v>108027.43340966874</v>
      </c>
    </row>
    <row r="6" spans="1:6" x14ac:dyDescent="0.2">
      <c r="A6" s="2">
        <v>46027</v>
      </c>
      <c r="B6" s="4">
        <v>68644.334844999175</v>
      </c>
      <c r="C6" s="5">
        <v>7.9200000000000007E-2</v>
      </c>
      <c r="D6" s="4">
        <v>143449.85256466956</v>
      </c>
      <c r="E6" s="5">
        <v>2.3E-2</v>
      </c>
      <c r="F6" s="9">
        <f t="shared" si="0"/>
        <v>212094.18740966875</v>
      </c>
    </row>
    <row r="7" spans="1:6" x14ac:dyDescent="0.2">
      <c r="A7" s="2">
        <v>46028</v>
      </c>
      <c r="B7" s="4">
        <v>65582.404844999182</v>
      </c>
      <c r="C7" s="5">
        <v>7.9200000000000007E-2</v>
      </c>
      <c r="D7" s="4">
        <v>137051.16856466958</v>
      </c>
      <c r="E7" s="5">
        <v>2.3E-2</v>
      </c>
      <c r="F7" s="9">
        <f t="shared" si="0"/>
        <v>202633.57340966875</v>
      </c>
    </row>
    <row r="8" spans="1:6" x14ac:dyDescent="0.2">
      <c r="A8" s="2">
        <v>46029</v>
      </c>
      <c r="B8" s="4">
        <v>73237.229844999179</v>
      </c>
      <c r="C8" s="5">
        <v>7.9200000000000007E-2</v>
      </c>
      <c r="D8" s="4">
        <v>153047.87856466958</v>
      </c>
      <c r="E8" s="5">
        <v>2.3E-2</v>
      </c>
      <c r="F8" s="9">
        <f t="shared" si="0"/>
        <v>226285.10840966876</v>
      </c>
    </row>
    <row r="9" spans="1:6" x14ac:dyDescent="0.2">
      <c r="A9" s="2">
        <v>46030</v>
      </c>
      <c r="B9" s="4">
        <v>70175.299844999172</v>
      </c>
      <c r="C9" s="5">
        <v>7.9200000000000007E-2</v>
      </c>
      <c r="D9" s="4">
        <v>146649.19456466957</v>
      </c>
      <c r="E9" s="5">
        <v>2.3E-2</v>
      </c>
      <c r="F9" s="9">
        <f t="shared" si="0"/>
        <v>216824.49440966872</v>
      </c>
    </row>
    <row r="10" spans="1:6" x14ac:dyDescent="0.2">
      <c r="A10" s="2">
        <v>46031</v>
      </c>
      <c r="B10" s="4">
        <v>64051.439844999179</v>
      </c>
      <c r="C10" s="5">
        <v>7.9200000000000007E-2</v>
      </c>
      <c r="D10" s="4">
        <v>133851.82656466958</v>
      </c>
      <c r="E10" s="5">
        <v>2.3E-2</v>
      </c>
      <c r="F10" s="9">
        <f t="shared" si="0"/>
        <v>197903.26640966875</v>
      </c>
    </row>
    <row r="11" spans="1:6" x14ac:dyDescent="0.2">
      <c r="A11" s="2">
        <v>46032</v>
      </c>
      <c r="B11" s="4">
        <v>41086.964844999173</v>
      </c>
      <c r="C11" s="5">
        <v>7.9200000000000007E-2</v>
      </c>
      <c r="D11" s="4">
        <v>85861.696564669575</v>
      </c>
      <c r="E11" s="5">
        <v>2.3E-2</v>
      </c>
      <c r="F11" s="9">
        <f t="shared" si="0"/>
        <v>126948.66140966874</v>
      </c>
    </row>
    <row r="12" spans="1:6" x14ac:dyDescent="0.2">
      <c r="A12" s="2">
        <v>46033</v>
      </c>
      <c r="B12" s="4">
        <v>34963.104844999172</v>
      </c>
      <c r="C12" s="5">
        <v>7.9200000000000007E-2</v>
      </c>
      <c r="D12" s="4">
        <v>73064.328564669573</v>
      </c>
      <c r="E12" s="5">
        <v>2.3E-2</v>
      </c>
      <c r="F12" s="9">
        <f t="shared" si="0"/>
        <v>108027.43340966874</v>
      </c>
    </row>
    <row r="13" spans="1:6" x14ac:dyDescent="0.2">
      <c r="A13" s="2">
        <v>46034</v>
      </c>
      <c r="B13" s="4">
        <v>53334.684844999181</v>
      </c>
      <c r="C13" s="5">
        <v>7.9200000000000007E-2</v>
      </c>
      <c r="D13" s="4">
        <v>111456.43256466958</v>
      </c>
      <c r="E13" s="5">
        <v>2.3E-2</v>
      </c>
      <c r="F13" s="9">
        <f t="shared" si="0"/>
        <v>164791.11740966875</v>
      </c>
    </row>
    <row r="14" spans="1:6" x14ac:dyDescent="0.2">
      <c r="A14" s="2">
        <v>46035</v>
      </c>
      <c r="B14" s="4">
        <v>55828.513584455184</v>
      </c>
      <c r="C14" s="5">
        <v>7.9200000000000007E-2</v>
      </c>
      <c r="D14" s="4">
        <v>116667.92402721031</v>
      </c>
      <c r="E14" s="5">
        <v>2.3E-2</v>
      </c>
      <c r="F14" s="9">
        <f t="shared" si="0"/>
        <v>172496.43761166549</v>
      </c>
    </row>
    <row r="15" spans="1:6" x14ac:dyDescent="0.2">
      <c r="A15" s="2">
        <v>46036</v>
      </c>
      <c r="B15" s="4">
        <v>54653.526761890142</v>
      </c>
      <c r="C15" s="5">
        <v>7.9200000000000007E-2</v>
      </c>
      <c r="D15" s="4">
        <v>114212.48925836914</v>
      </c>
      <c r="E15" s="5">
        <v>2.3E-2</v>
      </c>
      <c r="F15" s="9">
        <f t="shared" si="0"/>
        <v>168866.0160202593</v>
      </c>
    </row>
    <row r="16" spans="1:6" x14ac:dyDescent="0.2">
      <c r="A16" s="2">
        <v>46037</v>
      </c>
      <c r="B16" s="4">
        <v>58017.716964041974</v>
      </c>
      <c r="C16" s="5">
        <v>7.9200000000000007E-2</v>
      </c>
      <c r="D16" s="4">
        <v>121242.82307379461</v>
      </c>
      <c r="E16" s="5">
        <v>2.3E-2</v>
      </c>
      <c r="F16" s="9">
        <f t="shared" si="0"/>
        <v>179260.54003783659</v>
      </c>
    </row>
    <row r="17" spans="1:6" x14ac:dyDescent="0.2">
      <c r="A17" s="2">
        <v>46038</v>
      </c>
      <c r="B17" s="4">
        <v>54091.741874634448</v>
      </c>
      <c r="C17" s="5">
        <v>7.9200000000000007E-2</v>
      </c>
      <c r="D17" s="4">
        <v>113038.49639454641</v>
      </c>
      <c r="E17" s="5">
        <v>2.3E-2</v>
      </c>
      <c r="F17" s="9">
        <f t="shared" si="0"/>
        <v>167130.23826918087</v>
      </c>
    </row>
    <row r="18" spans="1:6" x14ac:dyDescent="0.2">
      <c r="A18" s="2">
        <v>46039</v>
      </c>
      <c r="B18" s="4">
        <v>41086.964844999173</v>
      </c>
      <c r="C18" s="5">
        <v>7.9200000000000007E-2</v>
      </c>
      <c r="D18" s="4">
        <v>85861.696564669575</v>
      </c>
      <c r="E18" s="5">
        <v>2.3E-2</v>
      </c>
      <c r="F18" s="9">
        <f t="shared" si="0"/>
        <v>126948.66140966874</v>
      </c>
    </row>
    <row r="19" spans="1:6" x14ac:dyDescent="0.2">
      <c r="A19" s="2">
        <v>46040</v>
      </c>
      <c r="B19" s="4">
        <v>34963.104844999172</v>
      </c>
      <c r="C19" s="5">
        <v>7.9200000000000007E-2</v>
      </c>
      <c r="D19" s="4">
        <v>73064.328564669573</v>
      </c>
      <c r="E19" s="5">
        <v>2.3E-2</v>
      </c>
      <c r="F19" s="9">
        <f t="shared" si="0"/>
        <v>108027.43340966874</v>
      </c>
    </row>
    <row r="20" spans="1:6" x14ac:dyDescent="0.2">
      <c r="A20" s="2">
        <v>46041</v>
      </c>
      <c r="B20" s="4">
        <v>50272.754844999174</v>
      </c>
      <c r="C20" s="5">
        <v>7.9200000000000007E-2</v>
      </c>
      <c r="D20" s="4">
        <v>105057.74856466957</v>
      </c>
      <c r="E20" s="5">
        <v>2.3E-2</v>
      </c>
      <c r="F20" s="9">
        <f t="shared" si="0"/>
        <v>155330.50340966875</v>
      </c>
    </row>
    <row r="21" spans="1:6" x14ac:dyDescent="0.2">
      <c r="A21" s="2">
        <v>46042</v>
      </c>
      <c r="B21" s="4">
        <v>54865.649844999178</v>
      </c>
      <c r="C21" s="5">
        <v>7.9200000000000007E-2</v>
      </c>
      <c r="D21" s="4">
        <v>114655.77456466958</v>
      </c>
      <c r="E21" s="5">
        <v>2.3E-2</v>
      </c>
      <c r="F21" s="9">
        <f t="shared" si="0"/>
        <v>169521.42440966878</v>
      </c>
    </row>
    <row r="22" spans="1:6" x14ac:dyDescent="0.2">
      <c r="A22" s="2">
        <v>46043</v>
      </c>
      <c r="B22" s="4">
        <v>51803.719844999177</v>
      </c>
      <c r="C22" s="5">
        <v>7.9200000000000007E-2</v>
      </c>
      <c r="D22" s="4">
        <v>108257.09056466958</v>
      </c>
      <c r="E22" s="5">
        <v>2.3E-2</v>
      </c>
      <c r="F22" s="9">
        <f t="shared" si="0"/>
        <v>160060.81040966875</v>
      </c>
    </row>
    <row r="23" spans="1:6" x14ac:dyDescent="0.2">
      <c r="A23" s="2">
        <v>46044</v>
      </c>
      <c r="B23" s="4">
        <v>50272.754844999174</v>
      </c>
      <c r="C23" s="5">
        <v>7.9200000000000007E-2</v>
      </c>
      <c r="D23" s="4">
        <v>105057.74856466957</v>
      </c>
      <c r="E23" s="5">
        <v>2.3E-2</v>
      </c>
      <c r="F23" s="9">
        <f t="shared" si="0"/>
        <v>155330.50340966875</v>
      </c>
    </row>
    <row r="24" spans="1:6" x14ac:dyDescent="0.2">
      <c r="A24" s="2">
        <v>46045</v>
      </c>
      <c r="B24" s="4">
        <v>48741.789844999177</v>
      </c>
      <c r="C24" s="5">
        <v>7.9200000000000007E-2</v>
      </c>
      <c r="D24" s="4">
        <v>101858.40656466957</v>
      </c>
      <c r="E24" s="5">
        <v>2.3E-2</v>
      </c>
      <c r="F24" s="9">
        <f t="shared" si="0"/>
        <v>150600.19640966874</v>
      </c>
    </row>
    <row r="25" spans="1:6" x14ac:dyDescent="0.2">
      <c r="A25" s="2">
        <v>46046</v>
      </c>
      <c r="B25" s="4">
        <v>41086.964844999173</v>
      </c>
      <c r="C25" s="5">
        <v>7.9200000000000007E-2</v>
      </c>
      <c r="D25" s="4">
        <v>85861.696564669575</v>
      </c>
      <c r="E25" s="5">
        <v>2.3E-2</v>
      </c>
      <c r="F25" s="9">
        <f t="shared" si="0"/>
        <v>126948.66140966874</v>
      </c>
    </row>
    <row r="26" spans="1:6" x14ac:dyDescent="0.2">
      <c r="A26" s="2">
        <v>46047</v>
      </c>
      <c r="B26" s="4">
        <v>34963.104844999172</v>
      </c>
      <c r="C26" s="5">
        <v>7.9200000000000007E-2</v>
      </c>
      <c r="D26" s="4">
        <v>73064.328564669573</v>
      </c>
      <c r="E26" s="5">
        <v>2.3E-2</v>
      </c>
      <c r="F26" s="9">
        <f t="shared" si="0"/>
        <v>108027.43340966874</v>
      </c>
    </row>
    <row r="27" spans="1:6" x14ac:dyDescent="0.2">
      <c r="A27" s="2">
        <v>46048</v>
      </c>
      <c r="B27" s="4">
        <v>48741.789844999177</v>
      </c>
      <c r="C27" s="5">
        <v>7.9200000000000007E-2</v>
      </c>
      <c r="D27" s="4">
        <v>101858.40656466957</v>
      </c>
      <c r="E27" s="5">
        <v>2.3E-2</v>
      </c>
      <c r="F27" s="9">
        <f t="shared" si="0"/>
        <v>150600.19640966874</v>
      </c>
    </row>
    <row r="28" spans="1:6" x14ac:dyDescent="0.2">
      <c r="A28" s="2">
        <v>46049</v>
      </c>
      <c r="B28" s="4">
        <v>53334.684844999181</v>
      </c>
      <c r="C28" s="5">
        <v>7.9200000000000007E-2</v>
      </c>
      <c r="D28" s="4">
        <v>111456.43256466958</v>
      </c>
      <c r="E28" s="5">
        <v>2.3E-2</v>
      </c>
      <c r="F28" s="9">
        <f t="shared" si="0"/>
        <v>164791.11740966875</v>
      </c>
    </row>
    <row r="29" spans="1:6" x14ac:dyDescent="0.2">
      <c r="A29" s="2">
        <v>46050</v>
      </c>
      <c r="B29" s="4">
        <v>51803.719844999177</v>
      </c>
      <c r="C29" s="5">
        <v>7.9200000000000007E-2</v>
      </c>
      <c r="D29" s="4">
        <v>108257.09056466958</v>
      </c>
      <c r="E29" s="5">
        <v>2.3E-2</v>
      </c>
      <c r="F29" s="9">
        <f t="shared" si="0"/>
        <v>160060.81040966875</v>
      </c>
    </row>
    <row r="30" spans="1:6" x14ac:dyDescent="0.2">
      <c r="A30" s="2">
        <v>46051</v>
      </c>
      <c r="B30" s="4">
        <v>50272.754844999174</v>
      </c>
      <c r="C30" s="5">
        <v>7.9200000000000007E-2</v>
      </c>
      <c r="D30" s="4">
        <v>105057.74856466957</v>
      </c>
      <c r="E30" s="5">
        <v>2.3E-2</v>
      </c>
      <c r="F30" s="9">
        <f t="shared" si="0"/>
        <v>155330.50340966875</v>
      </c>
    </row>
    <row r="31" spans="1:6" x14ac:dyDescent="0.2">
      <c r="A31" s="2">
        <v>46052</v>
      </c>
      <c r="B31" s="4">
        <v>47210.824844999173</v>
      </c>
      <c r="C31" s="5">
        <v>7.9200000000000007E-2</v>
      </c>
      <c r="D31" s="4">
        <v>98659.064564669578</v>
      </c>
      <c r="E31" s="5">
        <v>2.3E-2</v>
      </c>
      <c r="F31" s="9">
        <f t="shared" si="0"/>
        <v>145869.88940966874</v>
      </c>
    </row>
    <row r="32" spans="1:6" x14ac:dyDescent="0.2">
      <c r="A32" s="2">
        <v>46053</v>
      </c>
      <c r="B32" s="4">
        <v>41086.964844999173</v>
      </c>
      <c r="C32" s="5">
        <v>7.9200000000000007E-2</v>
      </c>
      <c r="D32" s="4">
        <v>85861.696564669575</v>
      </c>
      <c r="E32" s="5">
        <v>2.3E-2</v>
      </c>
      <c r="F32" s="9">
        <f t="shared" si="0"/>
        <v>126948.66140966874</v>
      </c>
    </row>
    <row r="33" spans="1:6" x14ac:dyDescent="0.2">
      <c r="A33" s="7">
        <v>46054</v>
      </c>
      <c r="B33" s="10">
        <v>30370.808497853657</v>
      </c>
      <c r="C33" s="8">
        <v>7.8899999999999998E-2</v>
      </c>
      <c r="D33" s="10">
        <v>60775.230641893191</v>
      </c>
      <c r="E33" s="8">
        <v>2.5100000000000001E-2</v>
      </c>
      <c r="F33" s="9">
        <f t="shared" si="0"/>
        <v>91146.039139746848</v>
      </c>
    </row>
    <row r="34" spans="1:6" x14ac:dyDescent="0.2">
      <c r="A34" s="2">
        <v>46055</v>
      </c>
      <c r="B34" s="9">
        <v>33986.380938074333</v>
      </c>
      <c r="C34" s="5">
        <v>7.8899999999999998E-2</v>
      </c>
      <c r="D34" s="9">
        <v>68010.377146880463</v>
      </c>
      <c r="E34" s="5">
        <v>2.5100000000000001E-2</v>
      </c>
      <c r="F34" s="9">
        <f t="shared" si="0"/>
        <v>101996.7580849548</v>
      </c>
    </row>
    <row r="35" spans="1:6" x14ac:dyDescent="0.2">
      <c r="A35" s="2">
        <v>46056</v>
      </c>
      <c r="B35" s="9">
        <v>65028.652889111814</v>
      </c>
      <c r="C35" s="5">
        <v>7.8899999999999998E-2</v>
      </c>
      <c r="D35" s="9">
        <v>130129.27785398555</v>
      </c>
      <c r="E35" s="5">
        <v>2.5100000000000001E-2</v>
      </c>
      <c r="F35" s="9">
        <f t="shared" si="0"/>
        <v>195157.93074309736</v>
      </c>
    </row>
    <row r="36" spans="1:6" x14ac:dyDescent="0.2">
      <c r="A36" s="2">
        <v>46057</v>
      </c>
      <c r="B36" s="9">
        <v>67921.110841288333</v>
      </c>
      <c r="C36" s="5">
        <v>7.8899999999999998E-2</v>
      </c>
      <c r="D36" s="9">
        <v>135917.39505797534</v>
      </c>
      <c r="E36" s="5">
        <v>2.5100000000000001E-2</v>
      </c>
      <c r="F36" s="9">
        <f t="shared" si="0"/>
        <v>203838.50589926366</v>
      </c>
    </row>
    <row r="37" spans="1:6" x14ac:dyDescent="0.2">
      <c r="A37" s="2">
        <v>46058</v>
      </c>
      <c r="B37" s="9">
        <v>72259.797769553144</v>
      </c>
      <c r="C37" s="5">
        <v>7.8899999999999998E-2</v>
      </c>
      <c r="D37" s="9">
        <v>144599.57086396011</v>
      </c>
      <c r="E37" s="5">
        <v>2.5100000000000001E-2</v>
      </c>
      <c r="F37" s="9">
        <f t="shared" si="0"/>
        <v>216859.36863351325</v>
      </c>
    </row>
    <row r="38" spans="1:6" x14ac:dyDescent="0.2">
      <c r="A38" s="2">
        <v>46059</v>
      </c>
      <c r="B38" s="9">
        <v>76598.484697817956</v>
      </c>
      <c r="C38" s="5">
        <v>7.8899999999999998E-2</v>
      </c>
      <c r="D38" s="9">
        <v>153281.74666994484</v>
      </c>
      <c r="E38" s="5">
        <v>2.5100000000000001E-2</v>
      </c>
      <c r="F38" s="9">
        <f t="shared" si="0"/>
        <v>229880.23136776278</v>
      </c>
    </row>
    <row r="39" spans="1:6" x14ac:dyDescent="0.2">
      <c r="A39" s="2">
        <v>46060</v>
      </c>
      <c r="B39" s="9">
        <v>40494.411330471543</v>
      </c>
      <c r="C39" s="5">
        <v>7.8899999999999998E-2</v>
      </c>
      <c r="D39" s="9">
        <v>81033.640855857579</v>
      </c>
      <c r="E39" s="5">
        <v>2.5100000000000001E-2</v>
      </c>
      <c r="F39" s="9">
        <f t="shared" si="0"/>
        <v>121528.05218632912</v>
      </c>
    </row>
    <row r="40" spans="1:6" x14ac:dyDescent="0.2">
      <c r="A40" s="2">
        <v>46061</v>
      </c>
      <c r="B40" s="9">
        <v>33263.266450030198</v>
      </c>
      <c r="C40" s="5">
        <v>7.8899999999999998E-2</v>
      </c>
      <c r="D40" s="9">
        <v>66563.347845883007</v>
      </c>
      <c r="E40" s="5">
        <v>2.5100000000000001E-2</v>
      </c>
      <c r="F40" s="9">
        <f t="shared" si="0"/>
        <v>99826.614295913198</v>
      </c>
    </row>
    <row r="41" spans="1:6" x14ac:dyDescent="0.2">
      <c r="A41" s="2">
        <v>46062</v>
      </c>
      <c r="B41" s="9">
        <v>65028.652889111814</v>
      </c>
      <c r="C41" s="5">
        <v>7.8899999999999998E-2</v>
      </c>
      <c r="D41" s="9">
        <v>130129.27785398555</v>
      </c>
      <c r="E41" s="5">
        <v>2.5100000000000001E-2</v>
      </c>
      <c r="F41" s="9">
        <f t="shared" si="0"/>
        <v>195157.93074309736</v>
      </c>
    </row>
    <row r="42" spans="1:6" x14ac:dyDescent="0.2">
      <c r="A42" s="2">
        <v>46063</v>
      </c>
      <c r="B42" s="9">
        <v>67197.996353244205</v>
      </c>
      <c r="C42" s="5">
        <v>7.8899999999999998E-2</v>
      </c>
      <c r="D42" s="9">
        <v>134470.3657569779</v>
      </c>
      <c r="E42" s="5">
        <v>2.5100000000000001E-2</v>
      </c>
      <c r="F42" s="9">
        <f t="shared" si="0"/>
        <v>201668.36211022211</v>
      </c>
    </row>
    <row r="43" spans="1:6" x14ac:dyDescent="0.2">
      <c r="A43" s="2">
        <v>46064</v>
      </c>
      <c r="B43" s="9">
        <v>68644.225329332476</v>
      </c>
      <c r="C43" s="5">
        <v>7.8899999999999998E-2</v>
      </c>
      <c r="D43" s="9">
        <v>137364.42435897281</v>
      </c>
      <c r="E43" s="5">
        <v>2.5100000000000001E-2</v>
      </c>
      <c r="F43" s="9">
        <f t="shared" si="0"/>
        <v>206008.64968830528</v>
      </c>
    </row>
    <row r="44" spans="1:6" x14ac:dyDescent="0.2">
      <c r="A44" s="2">
        <v>46065</v>
      </c>
      <c r="B44" s="9">
        <v>66474.881865200092</v>
      </c>
      <c r="C44" s="5">
        <v>7.8899999999999998E-2</v>
      </c>
      <c r="D44" s="9">
        <v>133023.33645598046</v>
      </c>
      <c r="E44" s="5">
        <v>2.5100000000000001E-2</v>
      </c>
      <c r="F44" s="9">
        <f t="shared" si="0"/>
        <v>199498.21832118055</v>
      </c>
    </row>
    <row r="45" spans="1:6" x14ac:dyDescent="0.2">
      <c r="A45" s="2">
        <v>46066</v>
      </c>
      <c r="B45" s="9">
        <v>65751.767377155949</v>
      </c>
      <c r="C45" s="5">
        <v>7.8899999999999998E-2</v>
      </c>
      <c r="D45" s="9">
        <v>131576.30715498302</v>
      </c>
      <c r="E45" s="5">
        <v>2.5100000000000001E-2</v>
      </c>
      <c r="F45" s="9">
        <f t="shared" si="0"/>
        <v>197328.07453213897</v>
      </c>
    </row>
    <row r="46" spans="1:6" x14ac:dyDescent="0.2">
      <c r="A46" s="2">
        <v>46067</v>
      </c>
      <c r="B46" s="9">
        <v>37601.953378295002</v>
      </c>
      <c r="C46" s="5">
        <v>7.8899999999999998E-2</v>
      </c>
      <c r="D46" s="9">
        <v>75245.523651867756</v>
      </c>
      <c r="E46" s="5">
        <v>2.5100000000000001E-2</v>
      </c>
      <c r="F46" s="9">
        <f t="shared" si="0"/>
        <v>112847.47703016276</v>
      </c>
    </row>
    <row r="47" spans="1:6" x14ac:dyDescent="0.2">
      <c r="A47" s="2">
        <v>46068</v>
      </c>
      <c r="B47" s="9">
        <v>30370.808497853657</v>
      </c>
      <c r="C47" s="5">
        <v>7.8899999999999998E-2</v>
      </c>
      <c r="D47" s="9">
        <v>60775.230641893191</v>
      </c>
      <c r="E47" s="5">
        <v>2.5100000000000001E-2</v>
      </c>
      <c r="F47" s="9">
        <f t="shared" si="0"/>
        <v>91146.039139746848</v>
      </c>
    </row>
    <row r="48" spans="1:6" x14ac:dyDescent="0.2">
      <c r="A48" s="2">
        <v>46069</v>
      </c>
      <c r="B48" s="9">
        <v>31817.037473941924</v>
      </c>
      <c r="C48" s="5">
        <v>7.8899999999999998E-2</v>
      </c>
      <c r="D48" s="9">
        <v>63669.289243888095</v>
      </c>
      <c r="E48" s="5">
        <v>2.5100000000000001E-2</v>
      </c>
      <c r="F48" s="9">
        <f t="shared" si="0"/>
        <v>95486.326717830016</v>
      </c>
    </row>
    <row r="49" spans="1:6" x14ac:dyDescent="0.2">
      <c r="A49" s="2">
        <v>46070</v>
      </c>
      <c r="B49" s="9">
        <v>24585.892593500583</v>
      </c>
      <c r="C49" s="5">
        <v>7.8899999999999998E-2</v>
      </c>
      <c r="D49" s="9">
        <v>49198.996233913531</v>
      </c>
      <c r="E49" s="5">
        <v>2.5100000000000001E-2</v>
      </c>
      <c r="F49" s="9">
        <f t="shared" si="0"/>
        <v>73784.888827414106</v>
      </c>
    </row>
    <row r="50" spans="1:6" x14ac:dyDescent="0.2">
      <c r="A50" s="2">
        <v>46071</v>
      </c>
      <c r="B50" s="9">
        <v>40494.411330471543</v>
      </c>
      <c r="C50" s="5">
        <v>7.8899999999999998E-2</v>
      </c>
      <c r="D50" s="9">
        <v>81033.640855857579</v>
      </c>
      <c r="E50" s="5">
        <v>2.5100000000000001E-2</v>
      </c>
      <c r="F50" s="9">
        <f t="shared" si="0"/>
        <v>121528.05218632912</v>
      </c>
    </row>
    <row r="51" spans="1:6" x14ac:dyDescent="0.2">
      <c r="A51" s="2">
        <v>46072</v>
      </c>
      <c r="B51" s="9">
        <v>49171.785187001165</v>
      </c>
      <c r="C51" s="5">
        <v>7.8899999999999998E-2</v>
      </c>
      <c r="D51" s="9">
        <v>98397.992467827062</v>
      </c>
      <c r="E51" s="5">
        <v>2.5100000000000001E-2</v>
      </c>
      <c r="F51" s="9">
        <f t="shared" si="0"/>
        <v>147569.77765482821</v>
      </c>
    </row>
    <row r="52" spans="1:6" x14ac:dyDescent="0.2">
      <c r="A52" s="2">
        <v>46073</v>
      </c>
      <c r="B52" s="9">
        <v>49894.899675045301</v>
      </c>
      <c r="C52" s="5">
        <v>7.8899999999999998E-2</v>
      </c>
      <c r="D52" s="9">
        <v>99845.021768824532</v>
      </c>
      <c r="E52" s="5">
        <v>2.5100000000000001E-2</v>
      </c>
      <c r="F52" s="9">
        <f t="shared" si="0"/>
        <v>149739.92144386983</v>
      </c>
    </row>
    <row r="53" spans="1:6" x14ac:dyDescent="0.2">
      <c r="A53" s="2">
        <v>46074</v>
      </c>
      <c r="B53" s="9">
        <v>37601.953378295002</v>
      </c>
      <c r="C53" s="5">
        <v>7.8899999999999998E-2</v>
      </c>
      <c r="D53" s="9">
        <v>75245.523651867756</v>
      </c>
      <c r="E53" s="5">
        <v>2.5100000000000001E-2</v>
      </c>
      <c r="F53" s="9">
        <f t="shared" si="0"/>
        <v>112847.47703016276</v>
      </c>
    </row>
    <row r="54" spans="1:6" x14ac:dyDescent="0.2">
      <c r="A54" s="2">
        <v>46075</v>
      </c>
      <c r="B54" s="9">
        <v>30370.808497853657</v>
      </c>
      <c r="C54" s="5">
        <v>7.8899999999999998E-2</v>
      </c>
      <c r="D54" s="9">
        <v>60775.230641893191</v>
      </c>
      <c r="E54" s="5">
        <v>2.5100000000000001E-2</v>
      </c>
      <c r="F54" s="9">
        <f t="shared" si="0"/>
        <v>91146.039139746848</v>
      </c>
    </row>
    <row r="55" spans="1:6" x14ac:dyDescent="0.2">
      <c r="A55" s="2">
        <v>46076</v>
      </c>
      <c r="B55" s="9">
        <v>60689.965960847003</v>
      </c>
      <c r="C55" s="5">
        <v>7.8899999999999998E-2</v>
      </c>
      <c r="D55" s="9">
        <v>121447.1020480008</v>
      </c>
      <c r="E55" s="5">
        <v>2.5100000000000001E-2</v>
      </c>
      <c r="F55" s="9">
        <f t="shared" si="0"/>
        <v>182137.0680088478</v>
      </c>
    </row>
    <row r="56" spans="1:6" x14ac:dyDescent="0.2">
      <c r="A56" s="2">
        <v>46077</v>
      </c>
      <c r="B56" s="9">
        <v>65751.767377155949</v>
      </c>
      <c r="C56" s="5">
        <v>7.8899999999999998E-2</v>
      </c>
      <c r="D56" s="9">
        <v>131576.30715498302</v>
      </c>
      <c r="E56" s="5">
        <v>2.5100000000000001E-2</v>
      </c>
      <c r="F56" s="9">
        <f t="shared" si="0"/>
        <v>197328.07453213897</v>
      </c>
    </row>
    <row r="57" spans="1:6" x14ac:dyDescent="0.2">
      <c r="A57" s="2">
        <v>46078</v>
      </c>
      <c r="B57" s="9">
        <v>67053.373455635388</v>
      </c>
      <c r="C57" s="5">
        <v>7.8899999999999998E-2</v>
      </c>
      <c r="D57" s="9">
        <v>134180.95989677843</v>
      </c>
      <c r="E57" s="5">
        <v>2.5100000000000001E-2</v>
      </c>
      <c r="F57" s="9">
        <f t="shared" si="0"/>
        <v>201234.33335241381</v>
      </c>
    </row>
    <row r="58" spans="1:6" x14ac:dyDescent="0.2">
      <c r="A58" s="2">
        <v>46079</v>
      </c>
      <c r="B58" s="9">
        <v>65462.521581938287</v>
      </c>
      <c r="C58" s="5">
        <v>7.8899999999999998E-2</v>
      </c>
      <c r="D58" s="9">
        <v>130997.49543458401</v>
      </c>
      <c r="E58" s="5">
        <v>2.5100000000000001E-2</v>
      </c>
      <c r="F58" s="9">
        <f t="shared" si="0"/>
        <v>196460.0170165223</v>
      </c>
    </row>
    <row r="59" spans="1:6" x14ac:dyDescent="0.2">
      <c r="A59" s="2">
        <v>46080</v>
      </c>
      <c r="B59" s="9">
        <v>64739.407093894151</v>
      </c>
      <c r="C59" s="5">
        <v>7.8899999999999998E-2</v>
      </c>
      <c r="D59" s="9">
        <v>129550.46613358655</v>
      </c>
      <c r="E59" s="5">
        <v>2.5100000000000001E-2</v>
      </c>
      <c r="F59" s="9">
        <f t="shared" si="0"/>
        <v>194289.87322748071</v>
      </c>
    </row>
    <row r="60" spans="1:6" x14ac:dyDescent="0.2">
      <c r="A60" s="2">
        <v>46081</v>
      </c>
      <c r="B60" s="9">
        <v>37601.953378295002</v>
      </c>
      <c r="C60" s="5">
        <v>7.8899999999999998E-2</v>
      </c>
      <c r="D60" s="9">
        <v>75245.523651867756</v>
      </c>
      <c r="E60" s="5">
        <v>2.5100000000000001E-2</v>
      </c>
      <c r="F60" s="9">
        <f t="shared" si="0"/>
        <v>112847.47703016276</v>
      </c>
    </row>
    <row r="61" spans="1:6" x14ac:dyDescent="0.2">
      <c r="A61" s="11">
        <v>46082</v>
      </c>
      <c r="B61" s="12">
        <v>31684.897246117496</v>
      </c>
      <c r="C61" s="13">
        <v>8.1000000000000003E-2</v>
      </c>
      <c r="D61" s="12">
        <v>60090.399633456829</v>
      </c>
      <c r="E61" s="13">
        <v>2.53E-2</v>
      </c>
      <c r="F61" s="9">
        <f t="shared" si="0"/>
        <v>91775.296879574322</v>
      </c>
    </row>
    <row r="62" spans="1:6" x14ac:dyDescent="0.2">
      <c r="A62" s="2">
        <v>46083</v>
      </c>
      <c r="B62" s="4">
        <v>58158.239701007929</v>
      </c>
      <c r="C62" s="5">
        <v>8.1000000000000003E-2</v>
      </c>
      <c r="D62" s="4">
        <v>110297.08692017835</v>
      </c>
      <c r="E62" s="5">
        <v>2.53E-2</v>
      </c>
      <c r="F62" s="9">
        <f t="shared" si="0"/>
        <v>168455.32662118628</v>
      </c>
    </row>
    <row r="63" spans="1:6" x14ac:dyDescent="0.2">
      <c r="A63" s="2">
        <v>46084</v>
      </c>
      <c r="B63" s="4">
        <v>48512.192028046375</v>
      </c>
      <c r="C63" s="5">
        <v>8.1000000000000003E-2</v>
      </c>
      <c r="D63" s="4">
        <v>92003.359942014911</v>
      </c>
      <c r="E63" s="5">
        <v>2.53E-2</v>
      </c>
      <c r="F63" s="9">
        <f t="shared" si="0"/>
        <v>140515.55197006129</v>
      </c>
    </row>
    <row r="64" spans="1:6" x14ac:dyDescent="0.2">
      <c r="A64" s="2">
        <v>46085</v>
      </c>
      <c r="B64" s="4">
        <v>59763.222473836555</v>
      </c>
      <c r="C64" s="5">
        <v>8.1000000000000003E-2</v>
      </c>
      <c r="D64" s="4">
        <v>113340.9363439256</v>
      </c>
      <c r="E64" s="5">
        <v>2.53E-2</v>
      </c>
      <c r="F64" s="9">
        <f t="shared" si="0"/>
        <v>173104.15881776216</v>
      </c>
    </row>
    <row r="65" spans="1:6" x14ac:dyDescent="0.2">
      <c r="A65" s="2">
        <v>46086</v>
      </c>
      <c r="B65" s="4">
        <v>62980.096894643895</v>
      </c>
      <c r="C65" s="5">
        <v>8.1000000000000003E-2</v>
      </c>
      <c r="D65" s="4">
        <v>119441.73787139922</v>
      </c>
      <c r="E65" s="5">
        <v>2.53E-2</v>
      </c>
      <c r="F65" s="9">
        <f t="shared" ref="F65:F128" si="1">SUM(D65,B65)</f>
        <v>182421.83476604312</v>
      </c>
    </row>
    <row r="66" spans="1:6" x14ac:dyDescent="0.2">
      <c r="A66" s="2">
        <v>46087</v>
      </c>
      <c r="B66" s="4">
        <v>80833.721799273539</v>
      </c>
      <c r="C66" s="5">
        <v>8.1000000000000003E-2</v>
      </c>
      <c r="D66" s="4">
        <v>153301.13299872575</v>
      </c>
      <c r="E66" s="5">
        <v>2.53E-2</v>
      </c>
      <c r="F66" s="9">
        <f t="shared" si="1"/>
        <v>234134.85479799929</v>
      </c>
    </row>
    <row r="67" spans="1:6" x14ac:dyDescent="0.2">
      <c r="A67" s="2">
        <v>46088</v>
      </c>
      <c r="B67" s="4">
        <v>48344.232534817864</v>
      </c>
      <c r="C67" s="5">
        <v>8.1000000000000003E-2</v>
      </c>
      <c r="D67" s="4">
        <v>91684.824805481665</v>
      </c>
      <c r="E67" s="5">
        <v>2.53E-2</v>
      </c>
      <c r="F67" s="9">
        <f t="shared" si="1"/>
        <v>140029.05734029954</v>
      </c>
    </row>
    <row r="68" spans="1:6" x14ac:dyDescent="0.2">
      <c r="A68" s="2">
        <v>46089</v>
      </c>
      <c r="B68" s="4">
        <v>27711.325300695597</v>
      </c>
      <c r="C68" s="5">
        <v>8.1000000000000003E-2</v>
      </c>
      <c r="D68" s="4">
        <v>52554.521441459452</v>
      </c>
      <c r="E68" s="5">
        <v>2.53E-2</v>
      </c>
      <c r="F68" s="9">
        <f t="shared" si="1"/>
        <v>80265.846742155045</v>
      </c>
    </row>
    <row r="69" spans="1:6" x14ac:dyDescent="0.2">
      <c r="A69" s="2">
        <v>46090</v>
      </c>
      <c r="B69" s="4">
        <v>72078.223436609303</v>
      </c>
      <c r="C69" s="5">
        <v>8.1000000000000003E-2</v>
      </c>
      <c r="D69" s="4">
        <v>136696.33256286386</v>
      </c>
      <c r="E69" s="5">
        <v>2.53E-2</v>
      </c>
      <c r="F69" s="9">
        <f t="shared" si="1"/>
        <v>208774.55599947314</v>
      </c>
    </row>
    <row r="70" spans="1:6" x14ac:dyDescent="0.2">
      <c r="A70" s="2">
        <v>46091</v>
      </c>
      <c r="B70" s="4">
        <v>80005.351780580197</v>
      </c>
      <c r="C70" s="5">
        <v>8.1000000000000003E-2</v>
      </c>
      <c r="D70" s="4">
        <v>151730.12946726388</v>
      </c>
      <c r="E70" s="5">
        <v>2.53E-2</v>
      </c>
      <c r="F70" s="9">
        <f t="shared" si="1"/>
        <v>231735.48124784406</v>
      </c>
    </row>
    <row r="71" spans="1:6" x14ac:dyDescent="0.2">
      <c r="A71" s="2">
        <v>46092</v>
      </c>
      <c r="B71" s="4">
        <v>86945.311874850697</v>
      </c>
      <c r="C71" s="5">
        <v>8.1000000000000003E-2</v>
      </c>
      <c r="D71" s="4">
        <v>164891.7620351605</v>
      </c>
      <c r="E71" s="5">
        <v>2.53E-2</v>
      </c>
      <c r="F71" s="9">
        <f t="shared" si="1"/>
        <v>251837.07391001121</v>
      </c>
    </row>
    <row r="72" spans="1:6" x14ac:dyDescent="0.2">
      <c r="A72" s="2">
        <v>46093</v>
      </c>
      <c r="B72" s="4">
        <v>91904.360447964849</v>
      </c>
      <c r="C72" s="5">
        <v>8.1000000000000003E-2</v>
      </c>
      <c r="D72" s="4">
        <v>174296.59640294962</v>
      </c>
      <c r="E72" s="5">
        <v>2.53E-2</v>
      </c>
      <c r="F72" s="9">
        <f t="shared" si="1"/>
        <v>266200.95685091446</v>
      </c>
    </row>
    <row r="73" spans="1:6" x14ac:dyDescent="0.2">
      <c r="A73" s="2">
        <v>46094</v>
      </c>
      <c r="B73" s="4">
        <v>67558.995674956706</v>
      </c>
      <c r="C73" s="5">
        <v>8.1000000000000003E-2</v>
      </c>
      <c r="D73" s="4">
        <v>128125.61825304886</v>
      </c>
      <c r="E73" s="5">
        <v>2.53E-2</v>
      </c>
      <c r="F73" s="9">
        <f t="shared" si="1"/>
        <v>195684.61392800556</v>
      </c>
    </row>
    <row r="74" spans="1:6" x14ac:dyDescent="0.2">
      <c r="A74" s="2">
        <v>46095</v>
      </c>
      <c r="B74" s="4">
        <v>39044.89370469017</v>
      </c>
      <c r="C74" s="5">
        <v>8.1000000000000003E-2</v>
      </c>
      <c r="D74" s="4">
        <v>74048.631060281215</v>
      </c>
      <c r="E74" s="5">
        <v>2.53E-2</v>
      </c>
      <c r="F74" s="9">
        <f t="shared" si="1"/>
        <v>113093.52476497139</v>
      </c>
    </row>
    <row r="75" spans="1:6" x14ac:dyDescent="0.2">
      <c r="A75" s="2">
        <v>46096</v>
      </c>
      <c r="B75" s="4">
        <v>23666.126327744907</v>
      </c>
      <c r="C75" s="5">
        <v>8.1000000000000003E-2</v>
      </c>
      <c r="D75" s="4">
        <v>44882.802609824568</v>
      </c>
      <c r="E75" s="5">
        <v>2.53E-2</v>
      </c>
      <c r="F75" s="9">
        <f t="shared" si="1"/>
        <v>68548.928937569479</v>
      </c>
    </row>
    <row r="76" spans="1:6" x14ac:dyDescent="0.2">
      <c r="A76" s="2">
        <v>46097</v>
      </c>
      <c r="B76" s="4">
        <v>60181.399100056849</v>
      </c>
      <c r="C76" s="5">
        <v>8.1000000000000003E-2</v>
      </c>
      <c r="D76" s="4">
        <v>114134.00821005032</v>
      </c>
      <c r="E76" s="5">
        <v>2.53E-2</v>
      </c>
      <c r="F76" s="9">
        <f t="shared" si="1"/>
        <v>174315.40731010717</v>
      </c>
    </row>
    <row r="77" spans="1:6" x14ac:dyDescent="0.2">
      <c r="A77" s="2">
        <v>46098</v>
      </c>
      <c r="B77" s="4">
        <v>58071.350566677334</v>
      </c>
      <c r="C77" s="5">
        <v>8.1000000000000003E-2</v>
      </c>
      <c r="D77" s="4">
        <v>110132.30169884169</v>
      </c>
      <c r="E77" s="5">
        <v>2.53E-2</v>
      </c>
      <c r="F77" s="9">
        <f t="shared" si="1"/>
        <v>168203.65226551902</v>
      </c>
    </row>
    <row r="78" spans="1:6" x14ac:dyDescent="0.2">
      <c r="A78" s="2">
        <v>46099</v>
      </c>
      <c r="B78" s="4">
        <v>64410.809715889671</v>
      </c>
      <c r="C78" s="5">
        <v>8.1000000000000003E-2</v>
      </c>
      <c r="D78" s="4">
        <v>122155.08437593628</v>
      </c>
      <c r="E78" s="5">
        <v>2.53E-2</v>
      </c>
      <c r="F78" s="9">
        <f t="shared" si="1"/>
        <v>186565.89409182593</v>
      </c>
    </row>
    <row r="79" spans="1:6" x14ac:dyDescent="0.2">
      <c r="A79" s="2">
        <v>46100</v>
      </c>
      <c r="B79" s="4">
        <v>60908.408240185847</v>
      </c>
      <c r="C79" s="5">
        <v>8.1000000000000003E-2</v>
      </c>
      <c r="D79" s="4">
        <v>115512.78086088732</v>
      </c>
      <c r="E79" s="5">
        <v>2.53E-2</v>
      </c>
      <c r="F79" s="9">
        <f t="shared" si="1"/>
        <v>176421.18910107316</v>
      </c>
    </row>
    <row r="80" spans="1:6" x14ac:dyDescent="0.2">
      <c r="A80" s="2">
        <v>46101</v>
      </c>
      <c r="B80" s="4">
        <v>50657.396211488238</v>
      </c>
      <c r="C80" s="5">
        <v>8.1000000000000003E-2</v>
      </c>
      <c r="D80" s="4">
        <v>96071.739134697331</v>
      </c>
      <c r="E80" s="5">
        <v>2.53E-2</v>
      </c>
      <c r="F80" s="9">
        <f t="shared" si="1"/>
        <v>146729.13534618556</v>
      </c>
    </row>
    <row r="81" spans="1:6" x14ac:dyDescent="0.2">
      <c r="A81" s="2">
        <v>46102</v>
      </c>
      <c r="B81" s="4">
        <v>38325.365962704134</v>
      </c>
      <c r="C81" s="5">
        <v>8.1000000000000003E-2</v>
      </c>
      <c r="D81" s="4">
        <v>72684.046879134869</v>
      </c>
      <c r="E81" s="5">
        <v>2.53E-2</v>
      </c>
      <c r="F81" s="9">
        <f t="shared" si="1"/>
        <v>111009.412841839</v>
      </c>
    </row>
    <row r="82" spans="1:6" x14ac:dyDescent="0.2">
      <c r="A82" s="2">
        <v>46103</v>
      </c>
      <c r="B82" s="4">
        <v>28323.13438334467</v>
      </c>
      <c r="C82" s="5">
        <v>8.1000000000000003E-2</v>
      </c>
      <c r="D82" s="4">
        <v>53714.817212349677</v>
      </c>
      <c r="E82" s="5">
        <v>2.53E-2</v>
      </c>
      <c r="F82" s="9">
        <f t="shared" si="1"/>
        <v>82037.951595694351</v>
      </c>
    </row>
    <row r="83" spans="1:6" x14ac:dyDescent="0.2">
      <c r="A83" s="2">
        <v>46104</v>
      </c>
      <c r="B83" s="4">
        <v>58942.737278293578</v>
      </c>
      <c r="C83" s="5">
        <v>8.1000000000000003E-2</v>
      </c>
      <c r="D83" s="4">
        <v>111784.88637757914</v>
      </c>
      <c r="E83" s="5">
        <v>2.53E-2</v>
      </c>
      <c r="F83" s="9">
        <f t="shared" si="1"/>
        <v>170727.62365587271</v>
      </c>
    </row>
    <row r="84" spans="1:6" x14ac:dyDescent="0.2">
      <c r="A84" s="2">
        <v>46105</v>
      </c>
      <c r="B84" s="4">
        <v>66784.413337774138</v>
      </c>
      <c r="C84" s="5">
        <v>8.1000000000000003E-2</v>
      </c>
      <c r="D84" s="4">
        <v>126656.62304600206</v>
      </c>
      <c r="E84" s="5">
        <v>2.53E-2</v>
      </c>
      <c r="F84" s="9">
        <f t="shared" si="1"/>
        <v>193441.0363837762</v>
      </c>
    </row>
    <row r="85" spans="1:6" x14ac:dyDescent="0.2">
      <c r="A85" s="2">
        <v>46106</v>
      </c>
      <c r="B85" s="4">
        <v>79919.17823660931</v>
      </c>
      <c r="C85" s="5">
        <v>8.1000000000000003E-2</v>
      </c>
      <c r="D85" s="4">
        <v>151566.70136286388</v>
      </c>
      <c r="E85" s="5">
        <v>2.53E-2</v>
      </c>
      <c r="F85" s="9">
        <f t="shared" si="1"/>
        <v>231485.87959947321</v>
      </c>
    </row>
    <row r="86" spans="1:6" x14ac:dyDescent="0.2">
      <c r="A86" s="2">
        <v>46107</v>
      </c>
      <c r="B86" s="4">
        <v>75251.943236609295</v>
      </c>
      <c r="C86" s="5">
        <v>8.1000000000000003E-2</v>
      </c>
      <c r="D86" s="4">
        <v>142715.29136286385</v>
      </c>
      <c r="E86" s="5">
        <v>2.53E-2</v>
      </c>
      <c r="F86" s="9">
        <f t="shared" si="1"/>
        <v>217967.23459947313</v>
      </c>
    </row>
    <row r="87" spans="1:6" x14ac:dyDescent="0.2">
      <c r="A87" s="2">
        <v>46108</v>
      </c>
      <c r="B87" s="4">
        <v>71891.534036609301</v>
      </c>
      <c r="C87" s="5">
        <v>8.1000000000000003E-2</v>
      </c>
      <c r="D87" s="4">
        <v>136342.27616286385</v>
      </c>
      <c r="E87" s="5">
        <v>2.53E-2</v>
      </c>
      <c r="F87" s="9">
        <f t="shared" si="1"/>
        <v>208233.81019947317</v>
      </c>
    </row>
    <row r="88" spans="1:6" x14ac:dyDescent="0.2">
      <c r="A88" s="2">
        <v>46109</v>
      </c>
      <c r="B88" s="4">
        <v>48949.774367419494</v>
      </c>
      <c r="C88" s="5">
        <v>8.1000000000000003E-2</v>
      </c>
      <c r="D88" s="4">
        <v>92833.234738238083</v>
      </c>
      <c r="E88" s="5">
        <v>2.53E-2</v>
      </c>
      <c r="F88" s="9">
        <f t="shared" si="1"/>
        <v>141783.00910565758</v>
      </c>
    </row>
    <row r="89" spans="1:6" x14ac:dyDescent="0.2">
      <c r="A89" s="2">
        <v>46110</v>
      </c>
      <c r="B89" s="4">
        <v>23682.773513315835</v>
      </c>
      <c r="C89" s="5">
        <v>8.1000000000000003E-2</v>
      </c>
      <c r="D89" s="4">
        <v>44914.373993059897</v>
      </c>
      <c r="E89" s="5">
        <v>2.53E-2</v>
      </c>
      <c r="F89" s="9">
        <f t="shared" si="1"/>
        <v>68597.147506375739</v>
      </c>
    </row>
    <row r="90" spans="1:6" x14ac:dyDescent="0.2">
      <c r="A90" s="2">
        <v>46111</v>
      </c>
      <c r="B90" s="4">
        <v>96186.397085429679</v>
      </c>
      <c r="C90" s="5">
        <v>8.1000000000000003E-2</v>
      </c>
      <c r="D90" s="4">
        <v>182417.47780558362</v>
      </c>
      <c r="E90" s="5">
        <v>2.53E-2</v>
      </c>
      <c r="F90" s="9">
        <f t="shared" si="1"/>
        <v>278603.87489101331</v>
      </c>
    </row>
    <row r="91" spans="1:6" x14ac:dyDescent="0.2">
      <c r="A91" s="2">
        <v>46112</v>
      </c>
      <c r="B91" s="4">
        <v>105216.19350175674</v>
      </c>
      <c r="C91" s="5">
        <v>8.1000000000000003E-2</v>
      </c>
      <c r="D91" s="4">
        <v>199542.48443101422</v>
      </c>
      <c r="E91" s="5">
        <v>2.53E-2</v>
      </c>
      <c r="F91" s="9">
        <f t="shared" si="1"/>
        <v>304758.67793277098</v>
      </c>
    </row>
    <row r="92" spans="1:6" s="18" customFormat="1" x14ac:dyDescent="0.2">
      <c r="A92" s="15">
        <v>46113</v>
      </c>
      <c r="B92" s="16">
        <v>71783.815255237641</v>
      </c>
      <c r="C92" s="17">
        <v>8.2100000000000006E-2</v>
      </c>
      <c r="D92" s="16">
        <v>108231.27012298677</v>
      </c>
      <c r="E92" s="17">
        <v>2.6100000000000002E-2</v>
      </c>
      <c r="F92" s="9">
        <f t="shared" si="1"/>
        <v>180015.08537822441</v>
      </c>
    </row>
    <row r="93" spans="1:6" x14ac:dyDescent="0.2">
      <c r="A93" s="2">
        <v>46114</v>
      </c>
      <c r="B93" s="4">
        <v>68965.079054115748</v>
      </c>
      <c r="C93" s="14">
        <v>8.2100000000000006E-2</v>
      </c>
      <c r="D93" s="4">
        <v>103981.35113909985</v>
      </c>
      <c r="E93" s="5">
        <v>2.6100000000000002E-2</v>
      </c>
      <c r="F93" s="9">
        <f t="shared" si="1"/>
        <v>172946.43019321561</v>
      </c>
    </row>
    <row r="94" spans="1:6" x14ac:dyDescent="0.2">
      <c r="A94" s="2">
        <v>46115</v>
      </c>
      <c r="B94" s="4">
        <v>43596.453244018674</v>
      </c>
      <c r="C94" s="14">
        <v>8.2100000000000006E-2</v>
      </c>
      <c r="D94" s="4">
        <v>65732.080284117619</v>
      </c>
      <c r="E94" s="5">
        <v>2.6100000000000002E-2</v>
      </c>
      <c r="F94" s="9">
        <f t="shared" si="1"/>
        <v>109328.53352813629</v>
      </c>
    </row>
    <row r="95" spans="1:6" x14ac:dyDescent="0.2">
      <c r="A95" s="2">
        <v>46116</v>
      </c>
      <c r="B95" s="4">
        <v>50737.251620194154</v>
      </c>
      <c r="C95" s="14">
        <v>8.2100000000000006E-2</v>
      </c>
      <c r="D95" s="4">
        <v>76498.541709964469</v>
      </c>
      <c r="E95" s="5">
        <v>2.6100000000000002E-2</v>
      </c>
      <c r="F95" s="9">
        <f t="shared" si="1"/>
        <v>127235.79333015863</v>
      </c>
    </row>
    <row r="96" spans="1:6" x14ac:dyDescent="0.2">
      <c r="A96" s="2">
        <v>46117</v>
      </c>
      <c r="B96" s="4">
        <v>44911.863471208897</v>
      </c>
      <c r="C96" s="14">
        <v>8.2100000000000006E-2</v>
      </c>
      <c r="D96" s="4">
        <v>67715.375809931516</v>
      </c>
      <c r="E96" s="5">
        <v>2.6100000000000002E-2</v>
      </c>
      <c r="F96" s="9">
        <f t="shared" si="1"/>
        <v>112627.23928114041</v>
      </c>
    </row>
    <row r="97" spans="1:6" x14ac:dyDescent="0.2">
      <c r="A97" s="2">
        <v>46118</v>
      </c>
      <c r="B97" s="4">
        <v>73662.972722652252</v>
      </c>
      <c r="C97" s="14">
        <v>8.2100000000000006E-2</v>
      </c>
      <c r="D97" s="4">
        <v>111064.54944557804</v>
      </c>
      <c r="E97" s="5">
        <v>2.6100000000000002E-2</v>
      </c>
      <c r="F97" s="9">
        <f t="shared" si="1"/>
        <v>184727.52216823029</v>
      </c>
    </row>
    <row r="98" spans="1:6" x14ac:dyDescent="0.2">
      <c r="A98" s="2">
        <v>46119</v>
      </c>
      <c r="B98" s="4">
        <v>75542.130190066833</v>
      </c>
      <c r="C98" s="14">
        <v>8.2100000000000006E-2</v>
      </c>
      <c r="D98" s="4">
        <v>113897.8287681693</v>
      </c>
      <c r="E98" s="5">
        <v>2.6100000000000002E-2</v>
      </c>
      <c r="F98" s="9">
        <f t="shared" si="1"/>
        <v>189439.95895823615</v>
      </c>
    </row>
    <row r="99" spans="1:6" x14ac:dyDescent="0.2">
      <c r="A99" s="2">
        <v>46120</v>
      </c>
      <c r="B99" s="4">
        <v>76481.708923774131</v>
      </c>
      <c r="C99" s="14">
        <v>8.2100000000000006E-2</v>
      </c>
      <c r="D99" s="4">
        <v>115314.46842946495</v>
      </c>
      <c r="E99" s="5">
        <v>2.6100000000000002E-2</v>
      </c>
      <c r="F99" s="9">
        <f t="shared" si="1"/>
        <v>191796.17735323909</v>
      </c>
    </row>
    <row r="100" spans="1:6" x14ac:dyDescent="0.2">
      <c r="A100" s="2">
        <v>46121</v>
      </c>
      <c r="B100" s="4">
        <v>72723.393988944954</v>
      </c>
      <c r="C100" s="14">
        <v>8.2100000000000006E-2</v>
      </c>
      <c r="D100" s="4">
        <v>109647.90978428241</v>
      </c>
      <c r="E100" s="5">
        <v>2.6100000000000002E-2</v>
      </c>
      <c r="F100" s="9">
        <f t="shared" si="1"/>
        <v>182371.30377322738</v>
      </c>
    </row>
    <row r="101" spans="1:6" x14ac:dyDescent="0.2">
      <c r="A101" s="2">
        <v>46122</v>
      </c>
      <c r="B101" s="4">
        <v>67085.921586701152</v>
      </c>
      <c r="C101" s="14">
        <v>8.2100000000000006E-2</v>
      </c>
      <c r="D101" s="4">
        <v>101148.07181650857</v>
      </c>
      <c r="E101" s="5">
        <v>2.6100000000000002E-2</v>
      </c>
      <c r="F101" s="9">
        <f t="shared" si="1"/>
        <v>168233.99340320972</v>
      </c>
    </row>
    <row r="102" spans="1:6" x14ac:dyDescent="0.2">
      <c r="A102" s="2">
        <v>46123</v>
      </c>
      <c r="B102" s="4">
        <v>50737.251620194154</v>
      </c>
      <c r="C102" s="14">
        <v>8.2100000000000006E-2</v>
      </c>
      <c r="D102" s="4">
        <v>76498.541709964469</v>
      </c>
      <c r="E102" s="5">
        <v>2.6100000000000002E-2</v>
      </c>
      <c r="F102" s="9">
        <f t="shared" si="1"/>
        <v>127235.79333015863</v>
      </c>
    </row>
    <row r="103" spans="1:6" x14ac:dyDescent="0.2">
      <c r="A103" s="2">
        <v>46124</v>
      </c>
      <c r="B103" s="4">
        <v>44911.863471208897</v>
      </c>
      <c r="C103" s="14">
        <v>8.2100000000000006E-2</v>
      </c>
      <c r="D103" s="4">
        <v>67715.375809931516</v>
      </c>
      <c r="E103" s="5">
        <v>2.6100000000000002E-2</v>
      </c>
      <c r="F103" s="9">
        <f t="shared" si="1"/>
        <v>112627.23928114041</v>
      </c>
    </row>
    <row r="104" spans="1:6" x14ac:dyDescent="0.2">
      <c r="A104" s="2">
        <v>46125</v>
      </c>
      <c r="B104" s="4">
        <v>74226.71996287661</v>
      </c>
      <c r="C104" s="14">
        <v>8.2100000000000006E-2</v>
      </c>
      <c r="D104" s="4">
        <v>111914.53324235542</v>
      </c>
      <c r="E104" s="5">
        <v>2.6100000000000002E-2</v>
      </c>
      <c r="F104" s="9">
        <f t="shared" si="1"/>
        <v>186141.25320523203</v>
      </c>
    </row>
    <row r="105" spans="1:6" x14ac:dyDescent="0.2">
      <c r="A105" s="2">
        <v>46126</v>
      </c>
      <c r="B105" s="4">
        <v>71407.983761754731</v>
      </c>
      <c r="C105" s="14">
        <v>8.2100000000000006E-2</v>
      </c>
      <c r="D105" s="4">
        <v>107664.61425846851</v>
      </c>
      <c r="E105" s="5">
        <v>2.6100000000000002E-2</v>
      </c>
      <c r="F105" s="9">
        <f t="shared" si="1"/>
        <v>179072.59802022326</v>
      </c>
    </row>
    <row r="106" spans="1:6" x14ac:dyDescent="0.2">
      <c r="A106" s="2">
        <v>46127</v>
      </c>
      <c r="B106" s="4">
        <v>73287.141229169312</v>
      </c>
      <c r="C106" s="14">
        <v>8.2100000000000006E-2</v>
      </c>
      <c r="D106" s="4">
        <v>110497.89358105978</v>
      </c>
      <c r="E106" s="5">
        <v>2.6100000000000002E-2</v>
      </c>
      <c r="F106" s="9">
        <f t="shared" si="1"/>
        <v>183785.03481022909</v>
      </c>
    </row>
    <row r="107" spans="1:6" x14ac:dyDescent="0.2">
      <c r="A107" s="2">
        <v>46128</v>
      </c>
      <c r="B107" s="4">
        <v>70468.405028047433</v>
      </c>
      <c r="C107" s="14">
        <v>8.2100000000000006E-2</v>
      </c>
      <c r="D107" s="4">
        <v>106247.97459717288</v>
      </c>
      <c r="E107" s="5">
        <v>2.6100000000000002E-2</v>
      </c>
      <c r="F107" s="9">
        <f t="shared" si="1"/>
        <v>176716.37962522032</v>
      </c>
    </row>
    <row r="108" spans="1:6" x14ac:dyDescent="0.2">
      <c r="A108" s="2">
        <v>46129</v>
      </c>
      <c r="B108" s="4">
        <v>64830.932625803631</v>
      </c>
      <c r="C108" s="14">
        <v>8.2100000000000006E-2</v>
      </c>
      <c r="D108" s="4">
        <v>97748.136629399043</v>
      </c>
      <c r="E108" s="5">
        <v>2.6100000000000002E-2</v>
      </c>
      <c r="F108" s="9">
        <f t="shared" si="1"/>
        <v>162579.06925520266</v>
      </c>
    </row>
    <row r="109" spans="1:6" x14ac:dyDescent="0.2">
      <c r="A109" s="2">
        <v>46130</v>
      </c>
      <c r="B109" s="4">
        <v>50737.251620194154</v>
      </c>
      <c r="C109" s="14">
        <v>8.2100000000000006E-2</v>
      </c>
      <c r="D109" s="4">
        <v>76498.541709964469</v>
      </c>
      <c r="E109" s="5">
        <v>2.6100000000000002E-2</v>
      </c>
      <c r="F109" s="9">
        <f t="shared" si="1"/>
        <v>127235.79333015863</v>
      </c>
    </row>
    <row r="110" spans="1:6" x14ac:dyDescent="0.2">
      <c r="A110" s="2">
        <v>46131</v>
      </c>
      <c r="B110" s="4">
        <v>44911.863471208897</v>
      </c>
      <c r="C110" s="14">
        <v>8.2100000000000006E-2</v>
      </c>
      <c r="D110" s="4">
        <v>67715.375809931516</v>
      </c>
      <c r="E110" s="5">
        <v>2.6100000000000002E-2</v>
      </c>
      <c r="F110" s="9">
        <f t="shared" si="1"/>
        <v>112627.23928114041</v>
      </c>
    </row>
    <row r="111" spans="1:6" x14ac:dyDescent="0.2">
      <c r="A111" s="2">
        <v>46132</v>
      </c>
      <c r="B111" s="4">
        <v>71971.731001979104</v>
      </c>
      <c r="C111" s="14">
        <v>8.2100000000000006E-2</v>
      </c>
      <c r="D111" s="4">
        <v>108514.59805524588</v>
      </c>
      <c r="E111" s="5">
        <v>2.6100000000000002E-2</v>
      </c>
      <c r="F111" s="9">
        <f t="shared" si="1"/>
        <v>180486.32905722497</v>
      </c>
    </row>
    <row r="112" spans="1:6" x14ac:dyDescent="0.2">
      <c r="A112" s="2">
        <v>46133</v>
      </c>
      <c r="B112" s="4">
        <v>43596.453244018674</v>
      </c>
      <c r="C112" s="14">
        <v>8.2100000000000006E-2</v>
      </c>
      <c r="D112" s="4">
        <v>65732.080284117619</v>
      </c>
      <c r="E112" s="5">
        <v>2.6100000000000002E-2</v>
      </c>
      <c r="F112" s="9">
        <f t="shared" si="1"/>
        <v>109328.53352813629</v>
      </c>
    </row>
    <row r="113" spans="1:6" x14ac:dyDescent="0.2">
      <c r="A113" s="2">
        <v>46134</v>
      </c>
      <c r="B113" s="4">
        <v>71032.152268271806</v>
      </c>
      <c r="C113" s="14">
        <v>8.2100000000000006E-2</v>
      </c>
      <c r="D113" s="4">
        <v>107097.95839395025</v>
      </c>
      <c r="E113" s="5">
        <v>2.6100000000000002E-2</v>
      </c>
      <c r="F113" s="9">
        <f t="shared" si="1"/>
        <v>178130.11066222205</v>
      </c>
    </row>
    <row r="114" spans="1:6" x14ac:dyDescent="0.2">
      <c r="A114" s="2">
        <v>46135</v>
      </c>
      <c r="B114" s="4">
        <v>68213.416067149912</v>
      </c>
      <c r="C114" s="14">
        <v>8.2100000000000006E-2</v>
      </c>
      <c r="D114" s="4">
        <v>102848.03941006334</v>
      </c>
      <c r="E114" s="5">
        <v>2.6100000000000002E-2</v>
      </c>
      <c r="F114" s="9">
        <f t="shared" si="1"/>
        <v>171061.45547721325</v>
      </c>
    </row>
    <row r="115" spans="1:6" x14ac:dyDescent="0.2">
      <c r="A115" s="2">
        <v>46136</v>
      </c>
      <c r="B115" s="4">
        <v>62575.94366490611</v>
      </c>
      <c r="C115" s="14">
        <v>8.2100000000000006E-2</v>
      </c>
      <c r="D115" s="4">
        <v>94348.201442289515</v>
      </c>
      <c r="E115" s="5">
        <v>2.6100000000000002E-2</v>
      </c>
      <c r="F115" s="9">
        <f t="shared" si="1"/>
        <v>156924.14510719563</v>
      </c>
    </row>
    <row r="116" spans="1:6" x14ac:dyDescent="0.2">
      <c r="A116" s="2">
        <v>46137</v>
      </c>
      <c r="B116" s="4">
        <v>50737.251620194154</v>
      </c>
      <c r="C116" s="14">
        <v>8.2100000000000006E-2</v>
      </c>
      <c r="D116" s="4">
        <v>76498.541709964469</v>
      </c>
      <c r="E116" s="5">
        <v>2.6100000000000002E-2</v>
      </c>
      <c r="F116" s="9">
        <f t="shared" si="1"/>
        <v>127235.79333015863</v>
      </c>
    </row>
    <row r="117" spans="1:6" x14ac:dyDescent="0.2">
      <c r="A117" s="2">
        <v>46138</v>
      </c>
      <c r="B117" s="4">
        <v>44911.863471208897</v>
      </c>
      <c r="C117" s="14">
        <v>8.2100000000000006E-2</v>
      </c>
      <c r="D117" s="4">
        <v>67715.375809931516</v>
      </c>
      <c r="E117" s="5">
        <v>2.6100000000000002E-2</v>
      </c>
      <c r="F117" s="9">
        <f t="shared" si="1"/>
        <v>112627.23928114041</v>
      </c>
    </row>
    <row r="118" spans="1:6" x14ac:dyDescent="0.2">
      <c r="A118" s="2">
        <v>46139</v>
      </c>
      <c r="B118" s="4">
        <v>70656.320774788881</v>
      </c>
      <c r="C118" s="14">
        <v>8.2100000000000006E-2</v>
      </c>
      <c r="D118" s="4">
        <v>106531.302529432</v>
      </c>
      <c r="E118" s="5">
        <v>2.6100000000000002E-2</v>
      </c>
      <c r="F118" s="9">
        <f t="shared" si="1"/>
        <v>177187.62330422088</v>
      </c>
    </row>
    <row r="119" spans="1:6" x14ac:dyDescent="0.2">
      <c r="A119" s="2">
        <v>46140</v>
      </c>
      <c r="B119" s="4">
        <v>67837.584573667002</v>
      </c>
      <c r="C119" s="14">
        <v>8.2100000000000006E-2</v>
      </c>
      <c r="D119" s="4">
        <v>102281.38354554509</v>
      </c>
      <c r="E119" s="5">
        <v>2.6100000000000002E-2</v>
      </c>
      <c r="F119" s="9">
        <f t="shared" si="1"/>
        <v>170118.96811921208</v>
      </c>
    </row>
    <row r="120" spans="1:6" x14ac:dyDescent="0.2">
      <c r="A120" s="2">
        <v>46141</v>
      </c>
      <c r="B120" s="4">
        <v>69716.742041081583</v>
      </c>
      <c r="C120" s="14">
        <v>8.2100000000000006E-2</v>
      </c>
      <c r="D120" s="4">
        <v>105114.66286813635</v>
      </c>
      <c r="E120" s="5">
        <v>2.6100000000000002E-2</v>
      </c>
      <c r="F120" s="9">
        <f t="shared" si="1"/>
        <v>174831.40490921793</v>
      </c>
    </row>
    <row r="121" spans="1:6" x14ac:dyDescent="0.2">
      <c r="A121" s="2">
        <v>46142</v>
      </c>
      <c r="B121" s="4">
        <v>66898.005839959689</v>
      </c>
      <c r="C121" s="14">
        <v>8.2100000000000006E-2</v>
      </c>
      <c r="D121" s="4">
        <v>100864.74388424946</v>
      </c>
      <c r="E121" s="5">
        <v>2.6100000000000002E-2</v>
      </c>
      <c r="F121" s="9">
        <f t="shared" si="1"/>
        <v>167762.74972420913</v>
      </c>
    </row>
    <row r="122" spans="1:6" s="18" customFormat="1" x14ac:dyDescent="0.2">
      <c r="A122" s="15">
        <v>46143</v>
      </c>
      <c r="B122" s="16">
        <v>53650.303683190396</v>
      </c>
      <c r="C122" s="19">
        <v>7.8299999999999995E-2</v>
      </c>
      <c r="D122" s="16">
        <v>71535.510907585456</v>
      </c>
      <c r="E122" s="19">
        <v>2.53E-2</v>
      </c>
      <c r="F122" s="9">
        <f t="shared" si="1"/>
        <v>125185.81459077584</v>
      </c>
    </row>
    <row r="123" spans="1:6" x14ac:dyDescent="0.2">
      <c r="A123" s="2">
        <v>46144</v>
      </c>
      <c r="B123" s="4">
        <v>61638.581368968022</v>
      </c>
      <c r="C123" s="14">
        <v>7.8299999999999995E-2</v>
      </c>
      <c r="D123" s="4">
        <v>82186.811763181744</v>
      </c>
      <c r="E123" s="14">
        <v>2.53E-2</v>
      </c>
      <c r="F123" s="9">
        <f t="shared" si="1"/>
        <v>143825.39313214977</v>
      </c>
    </row>
    <row r="124" spans="1:6" x14ac:dyDescent="0.2">
      <c r="A124" s="2">
        <v>46145</v>
      </c>
      <c r="B124" s="4">
        <v>55932.668736269719</v>
      </c>
      <c r="C124" s="14">
        <v>7.8299999999999995E-2</v>
      </c>
      <c r="D124" s="4">
        <v>74578.739723470106</v>
      </c>
      <c r="E124" s="14">
        <v>2.53E-2</v>
      </c>
      <c r="F124" s="9">
        <f t="shared" si="1"/>
        <v>130511.40845973982</v>
      </c>
    </row>
    <row r="125" spans="1:6" x14ac:dyDescent="0.2">
      <c r="A125" s="2">
        <v>46146</v>
      </c>
      <c r="B125" s="4">
        <v>81266.920825450201</v>
      </c>
      <c r="C125" s="14">
        <v>7.8299999999999995E-2</v>
      </c>
      <c r="D125" s="4">
        <v>108358.57957978979</v>
      </c>
      <c r="E125" s="14">
        <v>2.53E-2</v>
      </c>
      <c r="F125" s="9">
        <f t="shared" si="1"/>
        <v>189625.50040523999</v>
      </c>
    </row>
    <row r="126" spans="1:6" x14ac:dyDescent="0.2">
      <c r="A126" s="2">
        <v>46147</v>
      </c>
      <c r="B126" s="4">
        <v>83321.049373221584</v>
      </c>
      <c r="C126" s="14">
        <v>7.8299999999999995E-2</v>
      </c>
      <c r="D126" s="4">
        <v>111097.48551408597</v>
      </c>
      <c r="E126" s="14">
        <v>2.53E-2</v>
      </c>
      <c r="F126" s="9">
        <f t="shared" si="1"/>
        <v>194418.53488730756</v>
      </c>
    </row>
    <row r="127" spans="1:6" x14ac:dyDescent="0.2">
      <c r="A127" s="2">
        <v>46148</v>
      </c>
      <c r="B127" s="4">
        <v>85146.94141568504</v>
      </c>
      <c r="C127" s="14">
        <v>7.8299999999999995E-2</v>
      </c>
      <c r="D127" s="4">
        <v>113532.06856679371</v>
      </c>
      <c r="E127" s="14">
        <v>2.53E-2</v>
      </c>
      <c r="F127" s="9">
        <f t="shared" si="1"/>
        <v>198679.00998247875</v>
      </c>
    </row>
    <row r="128" spans="1:6" x14ac:dyDescent="0.2">
      <c r="A128" s="2">
        <v>46149</v>
      </c>
      <c r="B128" s="4">
        <v>89026.962005919893</v>
      </c>
      <c r="C128" s="14">
        <v>7.8299999999999995E-2</v>
      </c>
      <c r="D128" s="4">
        <v>118705.55755379763</v>
      </c>
      <c r="E128" s="14">
        <v>2.53E-2</v>
      </c>
      <c r="F128" s="9">
        <f t="shared" si="1"/>
        <v>207732.5195597175</v>
      </c>
    </row>
    <row r="129" spans="1:6" x14ac:dyDescent="0.2">
      <c r="A129" s="2">
        <v>46150</v>
      </c>
      <c r="B129" s="4">
        <v>82179.866846681922</v>
      </c>
      <c r="C129" s="14">
        <v>7.8299999999999995E-2</v>
      </c>
      <c r="D129" s="4">
        <v>109575.87110614365</v>
      </c>
      <c r="E129" s="14">
        <v>2.53E-2</v>
      </c>
      <c r="F129" s="9">
        <f t="shared" ref="F129:F152" si="2">SUM(D129,B129)</f>
        <v>191755.73795282556</v>
      </c>
    </row>
    <row r="130" spans="1:6" x14ac:dyDescent="0.2">
      <c r="A130" s="2">
        <v>46151</v>
      </c>
      <c r="B130" s="4">
        <v>61638.581368968022</v>
      </c>
      <c r="C130" s="14">
        <v>7.8299999999999995E-2</v>
      </c>
      <c r="D130" s="4">
        <v>82186.811763181744</v>
      </c>
      <c r="E130" s="14">
        <v>2.53E-2</v>
      </c>
      <c r="F130" s="9">
        <f t="shared" si="2"/>
        <v>143825.39313214977</v>
      </c>
    </row>
    <row r="131" spans="1:6" x14ac:dyDescent="0.2">
      <c r="A131" s="2">
        <v>46152</v>
      </c>
      <c r="B131" s="4">
        <v>54791.486209730057</v>
      </c>
      <c r="C131" s="14">
        <v>7.8299999999999995E-2</v>
      </c>
      <c r="D131" s="4">
        <v>73057.125315527781</v>
      </c>
      <c r="E131" s="14">
        <v>2.53E-2</v>
      </c>
      <c r="F131" s="9">
        <f t="shared" si="2"/>
        <v>127848.61152525785</v>
      </c>
    </row>
    <row r="132" spans="1:6" x14ac:dyDescent="0.2">
      <c r="A132" s="2">
        <v>46153</v>
      </c>
      <c r="B132" s="4">
        <v>81038.68432014226</v>
      </c>
      <c r="C132" s="14">
        <v>7.8299999999999995E-2</v>
      </c>
      <c r="D132" s="4">
        <v>108054.25669820132</v>
      </c>
      <c r="E132" s="14">
        <v>2.53E-2</v>
      </c>
      <c r="F132" s="9">
        <f t="shared" si="2"/>
        <v>189092.94101834358</v>
      </c>
    </row>
    <row r="133" spans="1:6" x14ac:dyDescent="0.2">
      <c r="A133" s="2">
        <v>46154</v>
      </c>
      <c r="B133" s="4">
        <v>84462.231899761246</v>
      </c>
      <c r="C133" s="14">
        <v>7.8299999999999995E-2</v>
      </c>
      <c r="D133" s="4">
        <v>112619.09992202831</v>
      </c>
      <c r="E133" s="14">
        <v>2.53E-2</v>
      </c>
      <c r="F133" s="9">
        <f t="shared" si="2"/>
        <v>197081.33182178956</v>
      </c>
    </row>
    <row r="134" spans="1:6" x14ac:dyDescent="0.2">
      <c r="A134" s="2">
        <v>46155</v>
      </c>
      <c r="B134" s="4">
        <v>85603.414426300908</v>
      </c>
      <c r="C134" s="14">
        <v>7.8299999999999995E-2</v>
      </c>
      <c r="D134" s="4">
        <v>114140.71432997064</v>
      </c>
      <c r="E134" s="14">
        <v>2.53E-2</v>
      </c>
      <c r="F134" s="9">
        <f t="shared" si="2"/>
        <v>199744.12875627156</v>
      </c>
    </row>
    <row r="135" spans="1:6" x14ac:dyDescent="0.2">
      <c r="A135" s="2">
        <v>46156</v>
      </c>
      <c r="B135" s="4">
        <v>83321.049373221584</v>
      </c>
      <c r="C135" s="14">
        <v>7.8299999999999995E-2</v>
      </c>
      <c r="D135" s="4">
        <v>111097.48551408597</v>
      </c>
      <c r="E135" s="14">
        <v>2.53E-2</v>
      </c>
      <c r="F135" s="9">
        <f t="shared" si="2"/>
        <v>194418.53488730756</v>
      </c>
    </row>
    <row r="136" spans="1:6" x14ac:dyDescent="0.2">
      <c r="A136" s="2">
        <v>46157</v>
      </c>
      <c r="B136" s="4">
        <v>79212.792277678804</v>
      </c>
      <c r="C136" s="14">
        <v>7.8299999999999995E-2</v>
      </c>
      <c r="D136" s="4">
        <v>105619.6736454936</v>
      </c>
      <c r="E136" s="14">
        <v>2.53E-2</v>
      </c>
      <c r="F136" s="9">
        <f t="shared" si="2"/>
        <v>184832.46592317242</v>
      </c>
    </row>
    <row r="137" spans="1:6" x14ac:dyDescent="0.2">
      <c r="A137" s="2">
        <v>46158</v>
      </c>
      <c r="B137" s="4">
        <v>61638.581368968022</v>
      </c>
      <c r="C137" s="14">
        <v>7.8299999999999995E-2</v>
      </c>
      <c r="D137" s="4">
        <v>82186.811763181744</v>
      </c>
      <c r="E137" s="14">
        <v>2.53E-2</v>
      </c>
      <c r="F137" s="9">
        <f t="shared" si="2"/>
        <v>143825.39313214977</v>
      </c>
    </row>
    <row r="138" spans="1:6" x14ac:dyDescent="0.2">
      <c r="A138" s="2">
        <v>46159</v>
      </c>
      <c r="B138" s="4">
        <v>54791.486209730057</v>
      </c>
      <c r="C138" s="14">
        <v>7.8299999999999995E-2</v>
      </c>
      <c r="D138" s="4">
        <v>73057.125315527781</v>
      </c>
      <c r="E138" s="14">
        <v>2.53E-2</v>
      </c>
      <c r="F138" s="9">
        <f t="shared" si="2"/>
        <v>127848.61152525785</v>
      </c>
    </row>
    <row r="139" spans="1:6" x14ac:dyDescent="0.2">
      <c r="A139" s="2">
        <v>46160</v>
      </c>
      <c r="B139" s="4">
        <v>78528.082761755009</v>
      </c>
      <c r="C139" s="14">
        <v>7.8299999999999995E-2</v>
      </c>
      <c r="D139" s="4">
        <v>104706.70500072821</v>
      </c>
      <c r="E139" s="14">
        <v>2.53E-2</v>
      </c>
      <c r="F139" s="9">
        <f t="shared" si="2"/>
        <v>183234.78776248323</v>
      </c>
    </row>
    <row r="140" spans="1:6" x14ac:dyDescent="0.2">
      <c r="A140" s="2">
        <v>46161</v>
      </c>
      <c r="B140" s="4">
        <v>81951.630341373995</v>
      </c>
      <c r="C140" s="14">
        <v>7.8299999999999995E-2</v>
      </c>
      <c r="D140" s="4">
        <v>109271.5482245552</v>
      </c>
      <c r="E140" s="14">
        <v>2.53E-2</v>
      </c>
      <c r="F140" s="9">
        <f t="shared" si="2"/>
        <v>191223.17856592918</v>
      </c>
    </row>
    <row r="141" spans="1:6" x14ac:dyDescent="0.2">
      <c r="A141" s="2">
        <v>46162</v>
      </c>
      <c r="B141" s="4">
        <v>84462.231899761246</v>
      </c>
      <c r="C141" s="14">
        <v>7.8299999999999995E-2</v>
      </c>
      <c r="D141" s="4">
        <v>112619.09992202831</v>
      </c>
      <c r="E141" s="14">
        <v>2.53E-2</v>
      </c>
      <c r="F141" s="9">
        <f t="shared" si="2"/>
        <v>197081.33182178956</v>
      </c>
    </row>
    <row r="142" spans="1:6" x14ac:dyDescent="0.2">
      <c r="A142" s="2">
        <v>46163</v>
      </c>
      <c r="B142" s="4">
        <v>81038.68432014226</v>
      </c>
      <c r="C142" s="14">
        <v>7.8299999999999995E-2</v>
      </c>
      <c r="D142" s="4">
        <v>108054.25669820132</v>
      </c>
      <c r="E142" s="14">
        <v>2.53E-2</v>
      </c>
      <c r="F142" s="9">
        <f t="shared" si="2"/>
        <v>189092.94101834358</v>
      </c>
    </row>
    <row r="143" spans="1:6" x14ac:dyDescent="0.2">
      <c r="A143" s="2">
        <v>46164</v>
      </c>
      <c r="B143" s="4">
        <v>75561.008192751891</v>
      </c>
      <c r="C143" s="14">
        <v>7.8299999999999995E-2</v>
      </c>
      <c r="D143" s="4">
        <v>100750.50754007815</v>
      </c>
      <c r="E143" s="14">
        <v>2.53E-2</v>
      </c>
      <c r="F143" s="9">
        <f t="shared" si="2"/>
        <v>176311.51573283004</v>
      </c>
    </row>
    <row r="144" spans="1:6" x14ac:dyDescent="0.2">
      <c r="A144" s="2">
        <v>46165</v>
      </c>
      <c r="B144" s="4">
        <v>61638.581368968022</v>
      </c>
      <c r="C144" s="14">
        <v>7.8299999999999995E-2</v>
      </c>
      <c r="D144" s="4">
        <v>82186.811763181744</v>
      </c>
      <c r="E144" s="14">
        <v>2.53E-2</v>
      </c>
      <c r="F144" s="9">
        <f t="shared" si="2"/>
        <v>143825.39313214977</v>
      </c>
    </row>
    <row r="145" spans="1:6" x14ac:dyDescent="0.2">
      <c r="A145" s="2">
        <v>46166</v>
      </c>
      <c r="B145" s="4">
        <v>54791.486209730057</v>
      </c>
      <c r="C145" s="14">
        <v>7.8299999999999995E-2</v>
      </c>
      <c r="D145" s="4">
        <v>73057.125315527781</v>
      </c>
      <c r="E145" s="14">
        <v>2.53E-2</v>
      </c>
      <c r="F145" s="9">
        <f t="shared" si="2"/>
        <v>127848.61152525785</v>
      </c>
    </row>
    <row r="146" spans="1:6" x14ac:dyDescent="0.2">
      <c r="A146" s="2">
        <v>46167</v>
      </c>
      <c r="B146" s="4">
        <v>79669.265288294671</v>
      </c>
      <c r="C146" s="14">
        <v>7.8299999999999995E-2</v>
      </c>
      <c r="D146" s="4">
        <v>106228.31940867053</v>
      </c>
      <c r="E146" s="14">
        <v>2.53E-2</v>
      </c>
      <c r="F146" s="9">
        <f t="shared" si="2"/>
        <v>185897.5846969652</v>
      </c>
    </row>
    <row r="147" spans="1:6" x14ac:dyDescent="0.2">
      <c r="A147" s="2">
        <v>46168</v>
      </c>
      <c r="B147" s="4">
        <v>83777.522383837466</v>
      </c>
      <c r="C147" s="14">
        <v>7.8299999999999995E-2</v>
      </c>
      <c r="D147" s="4">
        <v>111706.13127726293</v>
      </c>
      <c r="E147" s="14">
        <v>2.53E-2</v>
      </c>
      <c r="F147" s="9">
        <f t="shared" si="2"/>
        <v>195483.6536611004</v>
      </c>
    </row>
    <row r="148" spans="1:6" x14ac:dyDescent="0.2">
      <c r="A148" s="2">
        <v>46169</v>
      </c>
      <c r="B148" s="4">
        <v>86288.123942224702</v>
      </c>
      <c r="C148" s="14">
        <v>7.8299999999999995E-2</v>
      </c>
      <c r="D148" s="4">
        <v>115053.68297473603</v>
      </c>
      <c r="E148" s="14">
        <v>2.53E-2</v>
      </c>
      <c r="F148" s="9">
        <f t="shared" si="2"/>
        <v>201341.80691696075</v>
      </c>
    </row>
    <row r="149" spans="1:6" x14ac:dyDescent="0.2">
      <c r="A149" s="2">
        <v>46170</v>
      </c>
      <c r="B149" s="4">
        <v>83092.812867913657</v>
      </c>
      <c r="C149" s="14">
        <v>7.8299999999999995E-2</v>
      </c>
      <c r="D149" s="4">
        <v>110793.16263249752</v>
      </c>
      <c r="E149" s="14">
        <v>2.53E-2</v>
      </c>
      <c r="F149" s="9">
        <f t="shared" si="2"/>
        <v>193885.97550041118</v>
      </c>
    </row>
    <row r="150" spans="1:6" x14ac:dyDescent="0.2">
      <c r="A150" s="2">
        <v>46171</v>
      </c>
      <c r="B150" s="4">
        <v>76473.954213983627</v>
      </c>
      <c r="C150" s="14">
        <v>7.8299999999999995E-2</v>
      </c>
      <c r="D150" s="4">
        <v>101967.79906643202</v>
      </c>
      <c r="E150" s="14">
        <v>2.53E-2</v>
      </c>
      <c r="F150" s="9">
        <f t="shared" si="2"/>
        <v>178441.75328041567</v>
      </c>
    </row>
    <row r="151" spans="1:6" x14ac:dyDescent="0.2">
      <c r="A151" s="2">
        <v>46172</v>
      </c>
      <c r="B151" s="4">
        <v>61638.581368968022</v>
      </c>
      <c r="C151" s="14">
        <v>7.8299999999999995E-2</v>
      </c>
      <c r="D151" s="4">
        <v>82186.811763181744</v>
      </c>
      <c r="E151" s="14">
        <v>2.53E-2</v>
      </c>
      <c r="F151" s="9">
        <f t="shared" si="2"/>
        <v>143825.39313214977</v>
      </c>
    </row>
    <row r="152" spans="1:6" x14ac:dyDescent="0.2">
      <c r="A152" s="2">
        <v>46173</v>
      </c>
      <c r="B152" s="4">
        <v>54791.486209729992</v>
      </c>
      <c r="C152" s="14">
        <v>7.8299999999999995E-2</v>
      </c>
      <c r="D152" s="4">
        <v>73057.125315527694</v>
      </c>
      <c r="E152" s="14">
        <v>2.53E-2</v>
      </c>
      <c r="F152" s="9">
        <f t="shared" si="2"/>
        <v>127848.61152525769</v>
      </c>
    </row>
    <row r="153" spans="1:6" x14ac:dyDescent="0.2">
      <c r="A153" s="2">
        <v>46174</v>
      </c>
      <c r="B153" s="4">
        <v>83901.73583943327</v>
      </c>
      <c r="C153" s="14">
        <v>8.1199999999999994E-2</v>
      </c>
      <c r="D153" s="4">
        <v>108231.27012298677</v>
      </c>
      <c r="E153" s="14">
        <v>2.6499999999999999E-2</v>
      </c>
      <c r="F153" s="9">
        <f>SUM(D153,B153)</f>
        <v>192133.00596242002</v>
      </c>
    </row>
    <row r="154" spans="1:6" x14ac:dyDescent="0.2">
      <c r="A154" s="2">
        <v>46175</v>
      </c>
      <c r="B154" s="4">
        <v>89037.666807068526</v>
      </c>
      <c r="C154" s="14">
        <v>8.1199999999999994E-2</v>
      </c>
      <c r="D154" s="4">
        <v>103981.35113909985</v>
      </c>
      <c r="E154" s="14">
        <v>2.6499999999999999E-2</v>
      </c>
      <c r="F154" s="9">
        <f t="shared" ref="F154:F217" si="3">SUM(D154,B154)</f>
        <v>193019.01794616837</v>
      </c>
    </row>
    <row r="155" spans="1:6" x14ac:dyDescent="0.2">
      <c r="A155" s="2">
        <v>46176</v>
      </c>
      <c r="B155" s="4">
        <v>92180.037648101177</v>
      </c>
      <c r="C155" s="14">
        <v>8.1199999999999994E-2</v>
      </c>
      <c r="D155" s="4">
        <v>65732.080284117619</v>
      </c>
      <c r="E155" s="14">
        <v>2.6499999999999999E-2</v>
      </c>
      <c r="F155" s="9">
        <f t="shared" si="3"/>
        <v>157912.1179322188</v>
      </c>
    </row>
    <row r="156" spans="1:6" x14ac:dyDescent="0.2">
      <c r="A156" s="2">
        <v>46177</v>
      </c>
      <c r="B156" s="4">
        <v>73190.813999999998</v>
      </c>
      <c r="C156" s="14">
        <v>8.1199999999999994E-2</v>
      </c>
      <c r="D156" s="4">
        <v>76498.541709964469</v>
      </c>
      <c r="E156" s="14">
        <v>2.6499999999999999E-2</v>
      </c>
      <c r="F156" s="9">
        <f t="shared" si="3"/>
        <v>149689.35570996447</v>
      </c>
    </row>
    <row r="157" spans="1:6" x14ac:dyDescent="0.2">
      <c r="A157" s="2">
        <v>46178</v>
      </c>
      <c r="B157" s="4">
        <v>100372.6198412737</v>
      </c>
      <c r="C157" s="14">
        <v>8.1199999999999994E-2</v>
      </c>
      <c r="D157" s="4">
        <v>67715.375809931516</v>
      </c>
      <c r="E157" s="14">
        <v>2.6499999999999999E-2</v>
      </c>
      <c r="F157" s="9">
        <f t="shared" si="3"/>
        <v>168087.99565120522</v>
      </c>
    </row>
    <row r="158" spans="1:6" x14ac:dyDescent="0.2">
      <c r="A158" s="2">
        <v>46179</v>
      </c>
      <c r="B158" s="4">
        <v>70974.75619392407</v>
      </c>
      <c r="C158" s="14">
        <v>8.1199999999999994E-2</v>
      </c>
      <c r="D158" s="4">
        <v>111064.54944557804</v>
      </c>
      <c r="E158" s="14">
        <v>2.6499999999999999E-2</v>
      </c>
      <c r="F158" s="9">
        <f t="shared" si="3"/>
        <v>182039.30563950213</v>
      </c>
    </row>
    <row r="159" spans="1:6" x14ac:dyDescent="0.2">
      <c r="A159" s="2">
        <v>46180</v>
      </c>
      <c r="B159" s="4">
        <v>59169.786193924076</v>
      </c>
      <c r="C159" s="14">
        <v>8.1199999999999994E-2</v>
      </c>
      <c r="D159" s="4">
        <v>113897.8287681693</v>
      </c>
      <c r="E159" s="14">
        <v>2.6499999999999999E-2</v>
      </c>
      <c r="F159" s="9">
        <f t="shared" si="3"/>
        <v>173067.61496209339</v>
      </c>
    </row>
    <row r="160" spans="1:6" x14ac:dyDescent="0.2">
      <c r="A160" s="2">
        <v>46181</v>
      </c>
      <c r="B160" s="4">
        <v>88828.157948151667</v>
      </c>
      <c r="C160" s="14">
        <v>8.1199999999999994E-2</v>
      </c>
      <c r="D160" s="4">
        <v>115314.46842946495</v>
      </c>
      <c r="E160" s="14">
        <v>2.6499999999999999E-2</v>
      </c>
      <c r="F160" s="9">
        <f t="shared" si="3"/>
        <v>204142.6263776166</v>
      </c>
    </row>
    <row r="161" spans="1:6" x14ac:dyDescent="0.2">
      <c r="A161" s="2">
        <v>46182</v>
      </c>
      <c r="B161" s="4">
        <v>87126.954158409324</v>
      </c>
      <c r="C161" s="14">
        <v>8.1199999999999994E-2</v>
      </c>
      <c r="D161" s="4">
        <v>109647.90978428241</v>
      </c>
      <c r="E161" s="14">
        <v>2.6499999999999999E-2</v>
      </c>
      <c r="F161" s="9">
        <f t="shared" si="3"/>
        <v>196774.86394269174</v>
      </c>
    </row>
    <row r="162" spans="1:6" x14ac:dyDescent="0.2">
      <c r="A162" s="2">
        <v>46183</v>
      </c>
      <c r="B162" s="4">
        <v>84330.348163045273</v>
      </c>
      <c r="C162" s="14">
        <v>8.1199999999999994E-2</v>
      </c>
      <c r="D162" s="4">
        <v>101148.07181650857</v>
      </c>
      <c r="E162" s="14">
        <v>2.6499999999999999E-2</v>
      </c>
      <c r="F162" s="9">
        <f t="shared" si="3"/>
        <v>185478.41997955384</v>
      </c>
    </row>
    <row r="163" spans="1:6" x14ac:dyDescent="0.2">
      <c r="A163" s="2">
        <v>46184</v>
      </c>
      <c r="B163" s="4">
        <v>83245.660900397168</v>
      </c>
      <c r="C163" s="14">
        <v>8.1199999999999994E-2</v>
      </c>
      <c r="D163" s="4">
        <v>76498.541709964469</v>
      </c>
      <c r="E163" s="14">
        <v>2.6499999999999999E-2</v>
      </c>
      <c r="F163" s="9">
        <f t="shared" si="3"/>
        <v>159744.20261036162</v>
      </c>
    </row>
    <row r="164" spans="1:6" x14ac:dyDescent="0.2">
      <c r="A164" s="2">
        <v>46185</v>
      </c>
      <c r="B164" s="4">
        <v>83341.068640548227</v>
      </c>
      <c r="C164" s="14">
        <v>8.1199999999999994E-2</v>
      </c>
      <c r="D164" s="4">
        <v>67715.375809931516</v>
      </c>
      <c r="E164" s="14">
        <v>2.6499999999999999E-2</v>
      </c>
      <c r="F164" s="9">
        <f t="shared" si="3"/>
        <v>151056.44445047976</v>
      </c>
    </row>
    <row r="165" spans="1:6" x14ac:dyDescent="0.2">
      <c r="A165" s="2">
        <v>46186</v>
      </c>
      <c r="B165" s="4">
        <v>70974.75619392407</v>
      </c>
      <c r="C165" s="14">
        <v>8.1199999999999994E-2</v>
      </c>
      <c r="D165" s="4">
        <v>111914.53324235542</v>
      </c>
      <c r="E165" s="14">
        <v>2.6499999999999999E-2</v>
      </c>
      <c r="F165" s="9">
        <f t="shared" si="3"/>
        <v>182889.28943627951</v>
      </c>
    </row>
    <row r="166" spans="1:6" x14ac:dyDescent="0.2">
      <c r="A166" s="2">
        <v>46187</v>
      </c>
      <c r="B166" s="4">
        <v>59169.786193924076</v>
      </c>
      <c r="C166" s="14">
        <v>8.1199999999999994E-2</v>
      </c>
      <c r="D166" s="4">
        <v>107664.61425846851</v>
      </c>
      <c r="E166" s="14">
        <v>2.6499999999999999E-2</v>
      </c>
      <c r="F166" s="9">
        <f t="shared" si="3"/>
        <v>166834.40045239258</v>
      </c>
    </row>
    <row r="167" spans="1:6" x14ac:dyDescent="0.2">
      <c r="A167" s="2">
        <v>46188</v>
      </c>
      <c r="B167" s="4">
        <v>83870.273413262854</v>
      </c>
      <c r="C167" s="14">
        <v>8.1199999999999994E-2</v>
      </c>
      <c r="D167" s="4">
        <v>110497.89358105978</v>
      </c>
      <c r="E167" s="14">
        <v>2.6499999999999999E-2</v>
      </c>
      <c r="F167" s="9">
        <f t="shared" si="3"/>
        <v>194368.16699432262</v>
      </c>
    </row>
    <row r="168" spans="1:6" x14ac:dyDescent="0.2">
      <c r="A168" s="2">
        <v>46189</v>
      </c>
      <c r="B168" s="4">
        <v>83618.978657159241</v>
      </c>
      <c r="C168" s="14">
        <v>8.1199999999999994E-2</v>
      </c>
      <c r="D168" s="4">
        <v>106247.97459717288</v>
      </c>
      <c r="E168" s="14">
        <v>2.6499999999999999E-2</v>
      </c>
      <c r="F168" s="9">
        <f t="shared" si="3"/>
        <v>189866.95325433213</v>
      </c>
    </row>
    <row r="169" spans="1:6" x14ac:dyDescent="0.2">
      <c r="A169" s="2">
        <v>46190</v>
      </c>
      <c r="B169" s="4">
        <v>76977.648523457727</v>
      </c>
      <c r="C169" s="14">
        <v>8.1199999999999994E-2</v>
      </c>
      <c r="D169" s="4">
        <v>97748.136629399043</v>
      </c>
      <c r="E169" s="14">
        <v>2.6499999999999999E-2</v>
      </c>
      <c r="F169" s="9">
        <f t="shared" si="3"/>
        <v>174725.78515285678</v>
      </c>
    </row>
    <row r="170" spans="1:6" x14ac:dyDescent="0.2">
      <c r="A170" s="2">
        <v>46191</v>
      </c>
      <c r="B170" s="4">
        <v>80037.573993530983</v>
      </c>
      <c r="C170" s="14">
        <v>8.1199999999999994E-2</v>
      </c>
      <c r="D170" s="4">
        <v>76498.541709964469</v>
      </c>
      <c r="E170" s="14">
        <v>2.6499999999999999E-2</v>
      </c>
      <c r="F170" s="9">
        <f t="shared" si="3"/>
        <v>156536.11570349545</v>
      </c>
    </row>
    <row r="171" spans="1:6" x14ac:dyDescent="0.2">
      <c r="A171" s="2">
        <v>46192</v>
      </c>
      <c r="B171" s="4">
        <v>81118.446032963126</v>
      </c>
      <c r="C171" s="14">
        <v>8.1199999999999994E-2</v>
      </c>
      <c r="D171" s="4">
        <v>67715.375809931516</v>
      </c>
      <c r="E171" s="14">
        <v>2.6499999999999999E-2</v>
      </c>
      <c r="F171" s="9">
        <f t="shared" si="3"/>
        <v>148833.82184289466</v>
      </c>
    </row>
    <row r="172" spans="1:6" x14ac:dyDescent="0.2">
      <c r="A172" s="2">
        <v>46193</v>
      </c>
      <c r="B172" s="4">
        <v>70974.75619392407</v>
      </c>
      <c r="C172" s="14">
        <v>8.1199999999999994E-2</v>
      </c>
      <c r="D172" s="4">
        <v>108514.59805524588</v>
      </c>
      <c r="E172" s="14">
        <v>2.6499999999999999E-2</v>
      </c>
      <c r="F172" s="9">
        <f t="shared" si="3"/>
        <v>179489.35424916993</v>
      </c>
    </row>
    <row r="173" spans="1:6" x14ac:dyDescent="0.2">
      <c r="A173" s="2">
        <v>46194</v>
      </c>
      <c r="B173" s="4">
        <v>59169.786193924076</v>
      </c>
      <c r="C173" s="14">
        <v>8.1199999999999994E-2</v>
      </c>
      <c r="D173" s="4">
        <v>65732.080284117619</v>
      </c>
      <c r="E173" s="14">
        <v>2.6499999999999999E-2</v>
      </c>
      <c r="F173" s="9">
        <f t="shared" si="3"/>
        <v>124901.86647804169</v>
      </c>
    </row>
    <row r="174" spans="1:6" x14ac:dyDescent="0.2">
      <c r="A174" s="2">
        <v>46195</v>
      </c>
      <c r="B174" s="4">
        <v>76426.032992427194</v>
      </c>
      <c r="C174" s="14">
        <v>8.1199999999999994E-2</v>
      </c>
      <c r="D174" s="4">
        <v>107097.95839395025</v>
      </c>
      <c r="E174" s="14">
        <v>2.6499999999999999E-2</v>
      </c>
      <c r="F174" s="9">
        <f t="shared" si="3"/>
        <v>183523.99138637743</v>
      </c>
    </row>
    <row r="175" spans="1:6" x14ac:dyDescent="0.2">
      <c r="A175" s="2">
        <v>46196</v>
      </c>
      <c r="B175" s="4">
        <v>79679.316421432843</v>
      </c>
      <c r="C175" s="14">
        <v>8.1199999999999994E-2</v>
      </c>
      <c r="D175" s="4">
        <v>102848.03941006334</v>
      </c>
      <c r="E175" s="14">
        <v>2.6499999999999999E-2</v>
      </c>
      <c r="F175" s="9">
        <f t="shared" si="3"/>
        <v>182527.35583149618</v>
      </c>
    </row>
    <row r="176" spans="1:6" x14ac:dyDescent="0.2">
      <c r="A176" s="2">
        <v>46197</v>
      </c>
      <c r="B176" s="4">
        <v>85460.509385317506</v>
      </c>
      <c r="C176" s="14">
        <v>8.1199999999999994E-2</v>
      </c>
      <c r="D176" s="4">
        <v>94348.201442289515</v>
      </c>
      <c r="E176" s="14">
        <v>2.6499999999999999E-2</v>
      </c>
      <c r="F176" s="9">
        <f t="shared" si="3"/>
        <v>179808.71082760702</v>
      </c>
    </row>
    <row r="177" spans="1:6" x14ac:dyDescent="0.2">
      <c r="A177" s="2">
        <v>46198</v>
      </c>
      <c r="B177" s="4">
        <v>82640.352006982183</v>
      </c>
      <c r="C177" s="14">
        <v>8.1199999999999994E-2</v>
      </c>
      <c r="D177" s="4">
        <v>76498.541709964469</v>
      </c>
      <c r="E177" s="14">
        <v>2.6499999999999999E-2</v>
      </c>
      <c r="F177" s="9">
        <f t="shared" si="3"/>
        <v>159138.89371694665</v>
      </c>
    </row>
    <row r="178" spans="1:6" x14ac:dyDescent="0.2">
      <c r="A178" s="2">
        <v>46199</v>
      </c>
      <c r="B178" s="4">
        <v>80704.287813266055</v>
      </c>
      <c r="C178" s="14">
        <v>8.1199999999999994E-2</v>
      </c>
      <c r="D178" s="4">
        <v>67715.375809931516</v>
      </c>
      <c r="E178" s="14">
        <v>2.6499999999999999E-2</v>
      </c>
      <c r="F178" s="9">
        <f t="shared" si="3"/>
        <v>148419.66362319759</v>
      </c>
    </row>
    <row r="179" spans="1:6" x14ac:dyDescent="0.2">
      <c r="A179" s="2">
        <v>46200</v>
      </c>
      <c r="B179" s="4">
        <v>70974.75619392407</v>
      </c>
      <c r="C179" s="14">
        <v>8.1199999999999994E-2</v>
      </c>
      <c r="D179" s="4">
        <v>106531.302529432</v>
      </c>
      <c r="E179" s="14">
        <v>2.6499999999999999E-2</v>
      </c>
      <c r="F179" s="9">
        <f t="shared" si="3"/>
        <v>177506.05872335605</v>
      </c>
    </row>
    <row r="180" spans="1:6" x14ac:dyDescent="0.2">
      <c r="A180" s="2">
        <v>46201</v>
      </c>
      <c r="B180" s="4">
        <v>59169.786193924076</v>
      </c>
      <c r="C180" s="14">
        <v>8.1199999999999994E-2</v>
      </c>
      <c r="D180" s="4">
        <v>102281.38354554509</v>
      </c>
      <c r="E180" s="14">
        <v>2.6499999999999999E-2</v>
      </c>
      <c r="F180" s="9">
        <f t="shared" si="3"/>
        <v>161451.16973946916</v>
      </c>
    </row>
    <row r="181" spans="1:6" x14ac:dyDescent="0.2">
      <c r="A181" s="2">
        <v>46202</v>
      </c>
      <c r="B181" s="4">
        <v>80820.376907464204</v>
      </c>
      <c r="C181" s="14">
        <v>8.1199999999999994E-2</v>
      </c>
      <c r="D181" s="4">
        <v>105114.66286813635</v>
      </c>
      <c r="E181" s="14">
        <v>2.6499999999999999E-2</v>
      </c>
      <c r="F181" s="9">
        <f t="shared" si="3"/>
        <v>185935.03977560054</v>
      </c>
    </row>
    <row r="182" spans="1:6" x14ac:dyDescent="0.2">
      <c r="A182" s="2">
        <v>46203</v>
      </c>
      <c r="B182" s="4">
        <v>83506.970354915175</v>
      </c>
      <c r="C182" s="14">
        <v>8.1199999999999994E-2</v>
      </c>
      <c r="D182" s="4">
        <v>100864.74388424946</v>
      </c>
      <c r="E182" s="14">
        <v>2.6499999999999999E-2</v>
      </c>
      <c r="F182" s="9">
        <f t="shared" si="3"/>
        <v>184371.71423916463</v>
      </c>
    </row>
    <row r="183" spans="1:6" x14ac:dyDescent="0.2">
      <c r="A183" s="2">
        <v>46204</v>
      </c>
      <c r="B183" s="4">
        <v>72312.358177938513</v>
      </c>
      <c r="C183" s="14">
        <v>8.2600000000000007E-2</v>
      </c>
      <c r="D183" s="4">
        <v>130097.11429749061</v>
      </c>
      <c r="E183" s="14">
        <v>2.5899999999999999E-2</v>
      </c>
      <c r="F183" s="9">
        <f>SUM(D183,B183)</f>
        <v>202409.47247542912</v>
      </c>
    </row>
    <row r="184" spans="1:6" x14ac:dyDescent="0.2">
      <c r="A184" s="2">
        <v>46205</v>
      </c>
      <c r="B184" s="4">
        <v>71312.499523381834</v>
      </c>
      <c r="C184" s="14">
        <v>8.2600000000000007E-2</v>
      </c>
      <c r="D184" s="4">
        <v>128298.26927375191</v>
      </c>
      <c r="E184" s="14">
        <v>2.5899999999999999E-2</v>
      </c>
      <c r="F184" s="9">
        <f t="shared" si="3"/>
        <v>199610.76879713376</v>
      </c>
    </row>
    <row r="185" spans="1:6" x14ac:dyDescent="0.2">
      <c r="A185" s="2">
        <v>46206</v>
      </c>
      <c r="B185" s="4">
        <v>67313.064905155086</v>
      </c>
      <c r="C185" s="14">
        <v>8.2600000000000007E-2</v>
      </c>
      <c r="D185" s="4">
        <v>121102.88917879702</v>
      </c>
      <c r="E185" s="14">
        <v>2.5899999999999999E-2</v>
      </c>
      <c r="F185" s="9">
        <f t="shared" si="3"/>
        <v>188415.95408395212</v>
      </c>
    </row>
    <row r="186" spans="1:6" x14ac:dyDescent="0.2">
      <c r="A186" s="2">
        <v>46207</v>
      </c>
      <c r="B186" s="4">
        <v>56514.591435942857</v>
      </c>
      <c r="C186" s="14">
        <v>8.2600000000000007E-2</v>
      </c>
      <c r="D186" s="4">
        <v>101675.36292241886</v>
      </c>
      <c r="E186" s="14">
        <v>2.5899999999999999E-2</v>
      </c>
      <c r="F186" s="9">
        <f t="shared" si="3"/>
        <v>158189.95435836172</v>
      </c>
    </row>
    <row r="187" spans="1:6" x14ac:dyDescent="0.2">
      <c r="A187" s="2">
        <v>46208</v>
      </c>
      <c r="B187" s="4">
        <v>52115.213355893429</v>
      </c>
      <c r="C187" s="14">
        <v>8.2600000000000007E-2</v>
      </c>
      <c r="D187" s="4">
        <v>93760.444817968484</v>
      </c>
      <c r="E187" s="14">
        <v>2.5899999999999999E-2</v>
      </c>
      <c r="F187" s="9">
        <f t="shared" si="3"/>
        <v>145875.65817386191</v>
      </c>
    </row>
    <row r="188" spans="1:6" x14ac:dyDescent="0.2">
      <c r="A188" s="2">
        <v>46209</v>
      </c>
      <c r="B188" s="4">
        <v>74312.075487051887</v>
      </c>
      <c r="C188" s="14">
        <v>8.2600000000000007E-2</v>
      </c>
      <c r="D188" s="4">
        <v>133694.80434496806</v>
      </c>
      <c r="E188" s="14">
        <v>2.5899999999999999E-2</v>
      </c>
      <c r="F188" s="9">
        <f t="shared" si="3"/>
        <v>208006.87983201994</v>
      </c>
    </row>
    <row r="189" spans="1:6" x14ac:dyDescent="0.2">
      <c r="A189" s="2">
        <v>46210</v>
      </c>
      <c r="B189" s="4">
        <v>83310.80337806209</v>
      </c>
      <c r="C189" s="14">
        <v>8.2600000000000007E-2</v>
      </c>
      <c r="D189" s="4">
        <v>149884.40955861655</v>
      </c>
      <c r="E189" s="14">
        <v>2.5899999999999999E-2</v>
      </c>
      <c r="F189" s="9">
        <f t="shared" si="3"/>
        <v>233195.21293667864</v>
      </c>
    </row>
    <row r="190" spans="1:6" x14ac:dyDescent="0.2">
      <c r="A190" s="2">
        <v>46211</v>
      </c>
      <c r="B190" s="4">
        <v>77311.651450721954</v>
      </c>
      <c r="C190" s="14">
        <v>8.2600000000000007E-2</v>
      </c>
      <c r="D190" s="4">
        <v>139091.3394161842</v>
      </c>
      <c r="E190" s="14">
        <v>2.5899999999999999E-2</v>
      </c>
      <c r="F190" s="9">
        <f t="shared" si="3"/>
        <v>216402.99086690616</v>
      </c>
    </row>
    <row r="191" spans="1:6" x14ac:dyDescent="0.2">
      <c r="A191" s="2">
        <v>46212</v>
      </c>
      <c r="B191" s="4">
        <v>73312.216832495193</v>
      </c>
      <c r="C191" s="14">
        <v>8.2600000000000007E-2</v>
      </c>
      <c r="D191" s="4">
        <v>131895.95932122934</v>
      </c>
      <c r="E191" s="14">
        <v>2.5899999999999999E-2</v>
      </c>
      <c r="F191" s="9">
        <f t="shared" si="3"/>
        <v>205208.17615372455</v>
      </c>
    </row>
    <row r="192" spans="1:6" x14ac:dyDescent="0.2">
      <c r="A192" s="2">
        <v>46213</v>
      </c>
      <c r="B192" s="4">
        <v>64313.488941485019</v>
      </c>
      <c r="C192" s="14">
        <v>8.2600000000000007E-2</v>
      </c>
      <c r="D192" s="4">
        <v>115706.35410758086</v>
      </c>
      <c r="E192" s="14">
        <v>2.5899999999999999E-2</v>
      </c>
      <c r="F192" s="9">
        <f t="shared" si="3"/>
        <v>180019.84304906588</v>
      </c>
    </row>
    <row r="193" spans="1:6" x14ac:dyDescent="0.2">
      <c r="A193" s="2">
        <v>46214</v>
      </c>
      <c r="B193" s="4">
        <v>56514.591435942857</v>
      </c>
      <c r="C193" s="14">
        <v>8.2600000000000007E-2</v>
      </c>
      <c r="D193" s="4">
        <v>101675.36292241886</v>
      </c>
      <c r="E193" s="14">
        <v>2.5899999999999999E-2</v>
      </c>
      <c r="F193" s="9">
        <f t="shared" si="3"/>
        <v>158189.95435836172</v>
      </c>
    </row>
    <row r="194" spans="1:6" x14ac:dyDescent="0.2">
      <c r="A194" s="2">
        <v>46215</v>
      </c>
      <c r="B194" s="4">
        <v>52115.213355893429</v>
      </c>
      <c r="C194" s="14">
        <v>8.2600000000000007E-2</v>
      </c>
      <c r="D194" s="4">
        <v>93760.444817968484</v>
      </c>
      <c r="E194" s="14">
        <v>2.5899999999999999E-2</v>
      </c>
      <c r="F194" s="9">
        <f t="shared" si="3"/>
        <v>145875.65817386191</v>
      </c>
    </row>
    <row r="195" spans="1:6" x14ac:dyDescent="0.2">
      <c r="A195" s="2">
        <v>46216</v>
      </c>
      <c r="B195" s="4">
        <v>65313.347596041705</v>
      </c>
      <c r="C195" s="14">
        <v>8.2600000000000007E-2</v>
      </c>
      <c r="D195" s="4">
        <v>117505.19913131958</v>
      </c>
      <c r="E195" s="14">
        <v>2.5899999999999999E-2</v>
      </c>
      <c r="F195" s="9">
        <f t="shared" si="3"/>
        <v>182818.54672736127</v>
      </c>
    </row>
    <row r="196" spans="1:6" x14ac:dyDescent="0.2">
      <c r="A196" s="2">
        <v>46217</v>
      </c>
      <c r="B196" s="4">
        <v>67313.064905155086</v>
      </c>
      <c r="C196" s="14">
        <v>8.2600000000000007E-2</v>
      </c>
      <c r="D196" s="4">
        <v>121102.88917879702</v>
      </c>
      <c r="E196" s="14">
        <v>2.5899999999999999E-2</v>
      </c>
      <c r="F196" s="9">
        <f t="shared" si="3"/>
        <v>188415.95408395212</v>
      </c>
    </row>
    <row r="197" spans="1:6" x14ac:dyDescent="0.2">
      <c r="A197" s="2">
        <v>46218</v>
      </c>
      <c r="B197" s="4">
        <v>70312.640868825154</v>
      </c>
      <c r="C197" s="14">
        <v>8.2600000000000007E-2</v>
      </c>
      <c r="D197" s="4">
        <v>126499.42425001319</v>
      </c>
      <c r="E197" s="14">
        <v>2.5899999999999999E-2</v>
      </c>
      <c r="F197" s="9">
        <f t="shared" si="3"/>
        <v>196812.06511883833</v>
      </c>
    </row>
    <row r="198" spans="1:6" x14ac:dyDescent="0.2">
      <c r="A198" s="2">
        <v>46219</v>
      </c>
      <c r="B198" s="4">
        <v>66313.206250598392</v>
      </c>
      <c r="C198" s="14">
        <v>8.2600000000000007E-2</v>
      </c>
      <c r="D198" s="4">
        <v>119304.04415505831</v>
      </c>
      <c r="E198" s="14">
        <v>2.5899999999999999E-2</v>
      </c>
      <c r="F198" s="9">
        <f t="shared" si="3"/>
        <v>185617.2504056567</v>
      </c>
    </row>
    <row r="199" spans="1:6" x14ac:dyDescent="0.2">
      <c r="A199" s="2">
        <v>46220</v>
      </c>
      <c r="B199" s="4">
        <v>63313.630286928324</v>
      </c>
      <c r="C199" s="14">
        <v>8.2600000000000007E-2</v>
      </c>
      <c r="D199" s="4">
        <v>113907.50908384215</v>
      </c>
      <c r="E199" s="14">
        <v>2.5899999999999999E-2</v>
      </c>
      <c r="F199" s="9">
        <f t="shared" si="3"/>
        <v>177221.13937077048</v>
      </c>
    </row>
    <row r="200" spans="1:6" x14ac:dyDescent="0.2">
      <c r="A200" s="2">
        <v>46221</v>
      </c>
      <c r="B200" s="4">
        <v>56514.591435942857</v>
      </c>
      <c r="C200" s="14">
        <v>8.2600000000000007E-2</v>
      </c>
      <c r="D200" s="4">
        <v>101675.36292241886</v>
      </c>
      <c r="E200" s="14">
        <v>2.5899999999999999E-2</v>
      </c>
      <c r="F200" s="9">
        <f t="shared" si="3"/>
        <v>158189.95435836172</v>
      </c>
    </row>
    <row r="201" spans="1:6" x14ac:dyDescent="0.2">
      <c r="A201" s="2">
        <v>46222</v>
      </c>
      <c r="B201" s="4">
        <v>52115.213355893429</v>
      </c>
      <c r="C201" s="14">
        <v>8.2600000000000007E-2</v>
      </c>
      <c r="D201" s="4">
        <v>93760.444817968484</v>
      </c>
      <c r="E201" s="14">
        <v>2.5899999999999999E-2</v>
      </c>
      <c r="F201" s="9">
        <f t="shared" si="3"/>
        <v>145875.65817386191</v>
      </c>
    </row>
    <row r="202" spans="1:6" x14ac:dyDescent="0.2">
      <c r="A202" s="2">
        <v>46223</v>
      </c>
      <c r="B202" s="4">
        <v>63313.630286928324</v>
      </c>
      <c r="C202" s="14">
        <v>8.2600000000000007E-2</v>
      </c>
      <c r="D202" s="4">
        <v>113907.50908384215</v>
      </c>
      <c r="E202" s="14">
        <v>2.5899999999999999E-2</v>
      </c>
      <c r="F202" s="9">
        <f t="shared" si="3"/>
        <v>177221.13937077048</v>
      </c>
    </row>
    <row r="203" spans="1:6" x14ac:dyDescent="0.2">
      <c r="A203" s="2">
        <v>46224</v>
      </c>
      <c r="B203" s="4">
        <v>66313.206250598392</v>
      </c>
      <c r="C203" s="14">
        <v>8.2600000000000007E-2</v>
      </c>
      <c r="D203" s="4">
        <v>119304.04415505831</v>
      </c>
      <c r="E203" s="14">
        <v>2.5899999999999999E-2</v>
      </c>
      <c r="F203" s="9">
        <f t="shared" si="3"/>
        <v>185617.2504056567</v>
      </c>
    </row>
    <row r="204" spans="1:6" x14ac:dyDescent="0.2">
      <c r="A204" s="2">
        <v>46225</v>
      </c>
      <c r="B204" s="4">
        <v>68312.923559711766</v>
      </c>
      <c r="C204" s="14">
        <v>8.2600000000000007E-2</v>
      </c>
      <c r="D204" s="4">
        <v>122901.73420253575</v>
      </c>
      <c r="E204" s="14">
        <v>2.5899999999999999E-2</v>
      </c>
      <c r="F204" s="9">
        <f t="shared" si="3"/>
        <v>191214.65776224752</v>
      </c>
    </row>
    <row r="205" spans="1:6" x14ac:dyDescent="0.2">
      <c r="A205" s="2">
        <v>46226</v>
      </c>
      <c r="B205" s="4">
        <v>65313.347596041705</v>
      </c>
      <c r="C205" s="14">
        <v>8.2600000000000007E-2</v>
      </c>
      <c r="D205" s="4">
        <v>117505.19913131958</v>
      </c>
      <c r="E205" s="14">
        <v>2.5899999999999999E-2</v>
      </c>
      <c r="F205" s="9">
        <f t="shared" si="3"/>
        <v>182818.54672736127</v>
      </c>
    </row>
    <row r="206" spans="1:6" x14ac:dyDescent="0.2">
      <c r="A206" s="2">
        <v>46227</v>
      </c>
      <c r="B206" s="4">
        <v>63313.630286928324</v>
      </c>
      <c r="C206" s="14">
        <v>8.2600000000000007E-2</v>
      </c>
      <c r="D206" s="4">
        <v>113907.50908384215</v>
      </c>
      <c r="E206" s="14">
        <v>2.5899999999999999E-2</v>
      </c>
      <c r="F206" s="9">
        <f t="shared" si="3"/>
        <v>177221.13937077048</v>
      </c>
    </row>
    <row r="207" spans="1:6" x14ac:dyDescent="0.2">
      <c r="A207" s="2">
        <v>46228</v>
      </c>
      <c r="B207" s="4">
        <v>56514.591435942857</v>
      </c>
      <c r="C207" s="14">
        <v>8.2600000000000007E-2</v>
      </c>
      <c r="D207" s="4">
        <v>101675.36292241886</v>
      </c>
      <c r="E207" s="14">
        <v>2.5899999999999999E-2</v>
      </c>
      <c r="F207" s="9">
        <f t="shared" si="3"/>
        <v>158189.95435836172</v>
      </c>
    </row>
    <row r="208" spans="1:6" x14ac:dyDescent="0.2">
      <c r="A208" s="2">
        <v>46229</v>
      </c>
      <c r="B208" s="4">
        <v>52115.213355893429</v>
      </c>
      <c r="C208" s="14">
        <v>8.2600000000000007E-2</v>
      </c>
      <c r="D208" s="4">
        <v>93760.444817968484</v>
      </c>
      <c r="E208" s="14">
        <v>2.5899999999999999E-2</v>
      </c>
      <c r="F208" s="9">
        <f t="shared" si="3"/>
        <v>145875.65817386191</v>
      </c>
    </row>
    <row r="209" spans="1:6" x14ac:dyDescent="0.2">
      <c r="A209" s="2">
        <v>46230</v>
      </c>
      <c r="B209" s="4">
        <v>62313.771632371645</v>
      </c>
      <c r="C209" s="14">
        <v>8.2600000000000007E-2</v>
      </c>
      <c r="D209" s="4">
        <v>112108.66406010343</v>
      </c>
      <c r="E209" s="14">
        <v>2.5899999999999999E-2</v>
      </c>
      <c r="F209" s="9">
        <f t="shared" si="3"/>
        <v>174422.43569247506</v>
      </c>
    </row>
    <row r="210" spans="1:6" x14ac:dyDescent="0.2">
      <c r="A210" s="2">
        <v>46231</v>
      </c>
      <c r="B210" s="4">
        <v>64313.488941485019</v>
      </c>
      <c r="C210" s="14">
        <v>8.2600000000000007E-2</v>
      </c>
      <c r="D210" s="4">
        <v>115706.35410758086</v>
      </c>
      <c r="E210" s="14">
        <v>2.5899999999999999E-2</v>
      </c>
      <c r="F210" s="9">
        <f t="shared" si="3"/>
        <v>180019.84304906588</v>
      </c>
    </row>
    <row r="211" spans="1:6" x14ac:dyDescent="0.2">
      <c r="A211" s="2">
        <v>46232</v>
      </c>
      <c r="B211" s="4">
        <v>67313.064905155086</v>
      </c>
      <c r="C211" s="14">
        <v>8.2600000000000007E-2</v>
      </c>
      <c r="D211" s="4">
        <v>121102.88917879702</v>
      </c>
      <c r="E211" s="14">
        <v>2.5899999999999999E-2</v>
      </c>
      <c r="F211" s="9">
        <f t="shared" si="3"/>
        <v>188415.95408395212</v>
      </c>
    </row>
    <row r="212" spans="1:6" x14ac:dyDescent="0.2">
      <c r="A212" s="2">
        <v>46233</v>
      </c>
      <c r="B212" s="4">
        <v>65313.347596041705</v>
      </c>
      <c r="C212" s="14">
        <v>8.2600000000000007E-2</v>
      </c>
      <c r="D212" s="4">
        <v>117505.19913131958</v>
      </c>
      <c r="E212" s="14">
        <v>2.5899999999999999E-2</v>
      </c>
      <c r="F212" s="9">
        <f t="shared" si="3"/>
        <v>182818.54672736127</v>
      </c>
    </row>
    <row r="213" spans="1:6" x14ac:dyDescent="0.2">
      <c r="A213" s="2">
        <v>46234</v>
      </c>
      <c r="B213" s="4">
        <v>63313.630286928324</v>
      </c>
      <c r="C213" s="14">
        <v>8.2600000000000007E-2</v>
      </c>
      <c r="D213" s="4">
        <v>113907.50908384215</v>
      </c>
      <c r="E213" s="14">
        <v>2.5899999999999999E-2</v>
      </c>
      <c r="F213" s="9">
        <f t="shared" si="3"/>
        <v>177221.13937077048</v>
      </c>
    </row>
    <row r="214" spans="1:6" s="18" customFormat="1" x14ac:dyDescent="0.2">
      <c r="A214" s="15">
        <v>46235</v>
      </c>
      <c r="B214" s="16">
        <v>59017.210199999994</v>
      </c>
      <c r="C214" s="19">
        <v>8.2900000000000001E-2</v>
      </c>
      <c r="D214" s="16">
        <v>97496.40419999999</v>
      </c>
      <c r="E214" s="19">
        <v>2.6200000000000001E-2</v>
      </c>
      <c r="F214" s="20">
        <f t="shared" si="3"/>
        <v>156513.61439999999</v>
      </c>
    </row>
    <row r="215" spans="1:6" x14ac:dyDescent="0.2">
      <c r="A215" s="2">
        <v>46236</v>
      </c>
      <c r="B215" s="4">
        <v>50848.7382</v>
      </c>
      <c r="C215" s="14">
        <v>8.2900000000000001E-2</v>
      </c>
      <c r="D215" s="4">
        <v>84002.092199999999</v>
      </c>
      <c r="E215" s="14">
        <v>2.6200000000000001E-2</v>
      </c>
      <c r="F215" s="9">
        <f t="shared" si="3"/>
        <v>134850.83040000001</v>
      </c>
    </row>
    <row r="216" spans="1:6" x14ac:dyDescent="0.2">
      <c r="A216" s="2">
        <v>46237</v>
      </c>
      <c r="B216" s="4">
        <v>74741.518800000005</v>
      </c>
      <c r="C216" s="14">
        <v>8.2900000000000001E-2</v>
      </c>
      <c r="D216" s="4">
        <v>123472.95480000001</v>
      </c>
      <c r="E216" s="14">
        <v>2.6200000000000001E-2</v>
      </c>
      <c r="F216" s="9">
        <f t="shared" si="3"/>
        <v>198214.47360000003</v>
      </c>
    </row>
    <row r="217" spans="1:6" x14ac:dyDescent="0.2">
      <c r="A217" s="2">
        <v>46238</v>
      </c>
      <c r="B217" s="4">
        <v>78825.75480000001</v>
      </c>
      <c r="C217" s="14">
        <v>8.2900000000000001E-2</v>
      </c>
      <c r="D217" s="4">
        <v>130220.11080000001</v>
      </c>
      <c r="E217" s="14">
        <v>2.6200000000000001E-2</v>
      </c>
      <c r="F217" s="9">
        <f t="shared" si="3"/>
        <v>209045.86560000002</v>
      </c>
    </row>
    <row r="218" spans="1:6" x14ac:dyDescent="0.2">
      <c r="A218" s="2">
        <v>46239</v>
      </c>
      <c r="B218" s="4">
        <v>81888.931799999991</v>
      </c>
      <c r="C218" s="14">
        <v>8.2900000000000001E-2</v>
      </c>
      <c r="D218" s="4">
        <v>135280.47779999999</v>
      </c>
      <c r="E218" s="14">
        <v>2.6200000000000001E-2</v>
      </c>
      <c r="F218" s="9">
        <f t="shared" ref="F218:F274" si="4">SUM(D218,B218)</f>
        <v>217169.40959999998</v>
      </c>
    </row>
    <row r="219" spans="1:6" x14ac:dyDescent="0.2">
      <c r="A219" s="2">
        <v>46240</v>
      </c>
      <c r="B219" s="4">
        <v>88832.132999999987</v>
      </c>
      <c r="C219" s="14">
        <v>8.2900000000000001E-2</v>
      </c>
      <c r="D219" s="4">
        <v>146750.64299999998</v>
      </c>
      <c r="E219" s="14">
        <v>2.6200000000000001E-2</v>
      </c>
      <c r="F219" s="9">
        <f t="shared" si="4"/>
        <v>235582.77599999995</v>
      </c>
    </row>
    <row r="220" spans="1:6" x14ac:dyDescent="0.2">
      <c r="A220" s="2">
        <v>46241</v>
      </c>
      <c r="B220" s="4">
        <v>77396.272200000007</v>
      </c>
      <c r="C220" s="14">
        <v>8.2900000000000001E-2</v>
      </c>
      <c r="D220" s="4">
        <v>127858.60620000001</v>
      </c>
      <c r="E220" s="14">
        <v>2.6200000000000001E-2</v>
      </c>
      <c r="F220" s="9">
        <f t="shared" si="4"/>
        <v>205254.87840000002</v>
      </c>
    </row>
    <row r="221" spans="1:6" x14ac:dyDescent="0.2">
      <c r="A221" s="2">
        <v>46242</v>
      </c>
      <c r="B221" s="4">
        <v>59017.210199999994</v>
      </c>
      <c r="C221" s="14">
        <v>8.2900000000000001E-2</v>
      </c>
      <c r="D221" s="4">
        <v>97496.40419999999</v>
      </c>
      <c r="E221" s="14">
        <v>2.6200000000000001E-2</v>
      </c>
      <c r="F221" s="9">
        <f t="shared" si="4"/>
        <v>156513.61439999999</v>
      </c>
    </row>
    <row r="222" spans="1:6" x14ac:dyDescent="0.2">
      <c r="A222" s="2">
        <v>46243</v>
      </c>
      <c r="B222" s="4">
        <v>50848.7382</v>
      </c>
      <c r="C222" s="14">
        <v>8.2900000000000001E-2</v>
      </c>
      <c r="D222" s="4">
        <v>84002.092199999999</v>
      </c>
      <c r="E222" s="14">
        <v>2.6200000000000001E-2</v>
      </c>
      <c r="F222" s="9">
        <f t="shared" si="4"/>
        <v>134850.83040000001</v>
      </c>
    </row>
    <row r="223" spans="1:6" x14ac:dyDescent="0.2">
      <c r="A223" s="2">
        <v>46244</v>
      </c>
      <c r="B223" s="4">
        <v>67798.317599999995</v>
      </c>
      <c r="C223" s="14">
        <v>8.2900000000000001E-2</v>
      </c>
      <c r="D223" s="4">
        <v>112002.7896</v>
      </c>
      <c r="E223" s="14">
        <v>2.6200000000000001E-2</v>
      </c>
      <c r="F223" s="9">
        <f t="shared" si="4"/>
        <v>179801.1072</v>
      </c>
    </row>
    <row r="224" spans="1:6" x14ac:dyDescent="0.2">
      <c r="A224" s="2">
        <v>46245</v>
      </c>
      <c r="B224" s="4">
        <v>69840.435599999997</v>
      </c>
      <c r="C224" s="14">
        <v>8.2900000000000001E-2</v>
      </c>
      <c r="D224" s="4">
        <v>115376.3676</v>
      </c>
      <c r="E224" s="14">
        <v>2.6200000000000001E-2</v>
      </c>
      <c r="F224" s="9">
        <f t="shared" si="4"/>
        <v>185216.80319999999</v>
      </c>
    </row>
    <row r="225" spans="1:6" x14ac:dyDescent="0.2">
      <c r="A225" s="2">
        <v>46246</v>
      </c>
      <c r="B225" s="4">
        <v>73516.247999999992</v>
      </c>
      <c r="C225" s="14">
        <v>8.2900000000000001E-2</v>
      </c>
      <c r="D225" s="4">
        <v>121448.80799999999</v>
      </c>
      <c r="E225" s="14">
        <v>2.6200000000000001E-2</v>
      </c>
      <c r="F225" s="9">
        <f t="shared" si="4"/>
        <v>194965.05599999998</v>
      </c>
    </row>
    <row r="226" spans="1:6" x14ac:dyDescent="0.2">
      <c r="A226" s="2">
        <v>46247</v>
      </c>
      <c r="B226" s="4">
        <v>69840.435599999997</v>
      </c>
      <c r="C226" s="14">
        <v>8.2900000000000001E-2</v>
      </c>
      <c r="D226" s="4">
        <v>115376.3676</v>
      </c>
      <c r="E226" s="14">
        <v>2.6200000000000001E-2</v>
      </c>
      <c r="F226" s="9">
        <f t="shared" si="4"/>
        <v>185216.80319999999</v>
      </c>
    </row>
    <row r="227" spans="1:6" x14ac:dyDescent="0.2">
      <c r="A227" s="2">
        <v>46248</v>
      </c>
      <c r="B227" s="4">
        <v>65551.987799999988</v>
      </c>
      <c r="C227" s="14">
        <v>8.2900000000000001E-2</v>
      </c>
      <c r="D227" s="4">
        <v>108291.85379999998</v>
      </c>
      <c r="E227" s="14">
        <v>2.6200000000000001E-2</v>
      </c>
      <c r="F227" s="9">
        <f t="shared" si="4"/>
        <v>173843.84159999999</v>
      </c>
    </row>
    <row r="228" spans="1:6" x14ac:dyDescent="0.2">
      <c r="A228" s="2">
        <v>46249</v>
      </c>
      <c r="B228" s="4">
        <v>59017.210199999994</v>
      </c>
      <c r="C228" s="14">
        <v>8.2900000000000001E-2</v>
      </c>
      <c r="D228" s="4">
        <v>97496.40419999999</v>
      </c>
      <c r="E228" s="14">
        <v>2.6200000000000001E-2</v>
      </c>
      <c r="F228" s="9">
        <f t="shared" si="4"/>
        <v>156513.61439999999</v>
      </c>
    </row>
    <row r="229" spans="1:6" x14ac:dyDescent="0.2">
      <c r="A229" s="2">
        <v>46250</v>
      </c>
      <c r="B229" s="4">
        <v>50848.7382</v>
      </c>
      <c r="C229" s="14">
        <v>8.2900000000000001E-2</v>
      </c>
      <c r="D229" s="4">
        <v>84002.092199999999</v>
      </c>
      <c r="E229" s="14">
        <v>2.6200000000000001E-2</v>
      </c>
      <c r="F229" s="9">
        <f t="shared" si="4"/>
        <v>134850.83040000001</v>
      </c>
    </row>
    <row r="230" spans="1:6" x14ac:dyDescent="0.2">
      <c r="A230" s="2">
        <v>46251</v>
      </c>
      <c r="B230" s="4">
        <v>66164.623200000002</v>
      </c>
      <c r="C230" s="14">
        <v>8.2900000000000001E-2</v>
      </c>
      <c r="D230" s="4">
        <v>109303.92719999999</v>
      </c>
      <c r="E230" s="14">
        <v>2.6200000000000001E-2</v>
      </c>
      <c r="F230" s="9">
        <f t="shared" si="4"/>
        <v>175468.55040000001</v>
      </c>
    </row>
    <row r="231" spans="1:6" x14ac:dyDescent="0.2">
      <c r="A231" s="2">
        <v>46252</v>
      </c>
      <c r="B231" s="4">
        <v>68819.376600000003</v>
      </c>
      <c r="C231" s="14">
        <v>8.2900000000000001E-2</v>
      </c>
      <c r="D231" s="4">
        <v>113689.57860000001</v>
      </c>
      <c r="E231" s="14">
        <v>2.6200000000000001E-2</v>
      </c>
      <c r="F231" s="9">
        <f t="shared" si="4"/>
        <v>182508.95520000003</v>
      </c>
    </row>
    <row r="232" spans="1:6" x14ac:dyDescent="0.2">
      <c r="A232" s="2">
        <v>46253</v>
      </c>
      <c r="B232" s="4">
        <v>72086.765399999989</v>
      </c>
      <c r="C232" s="14">
        <v>8.2900000000000001E-2</v>
      </c>
      <c r="D232" s="4">
        <v>119087.30339999999</v>
      </c>
      <c r="E232" s="14">
        <v>2.6200000000000001E-2</v>
      </c>
      <c r="F232" s="9">
        <f t="shared" si="4"/>
        <v>191174.06879999998</v>
      </c>
    </row>
    <row r="233" spans="1:6" x14ac:dyDescent="0.2">
      <c r="A233" s="2">
        <v>46254</v>
      </c>
      <c r="B233" s="4">
        <v>69227.800199999998</v>
      </c>
      <c r="C233" s="14">
        <v>8.2900000000000001E-2</v>
      </c>
      <c r="D233" s="4">
        <v>114364.2942</v>
      </c>
      <c r="E233" s="14">
        <v>2.6200000000000001E-2</v>
      </c>
      <c r="F233" s="9">
        <f t="shared" si="4"/>
        <v>183592.0944</v>
      </c>
    </row>
    <row r="234" spans="1:6" x14ac:dyDescent="0.2">
      <c r="A234" s="2">
        <v>46255</v>
      </c>
      <c r="B234" s="4">
        <v>65551.987799999988</v>
      </c>
      <c r="C234" s="14">
        <v>8.2900000000000001E-2</v>
      </c>
      <c r="D234" s="4">
        <v>108291.85379999998</v>
      </c>
      <c r="E234" s="14">
        <v>2.6200000000000001E-2</v>
      </c>
      <c r="F234" s="9">
        <f t="shared" si="4"/>
        <v>173843.84159999999</v>
      </c>
    </row>
    <row r="235" spans="1:6" x14ac:dyDescent="0.2">
      <c r="A235" s="2">
        <v>46256</v>
      </c>
      <c r="B235" s="4">
        <v>59017.210199999994</v>
      </c>
      <c r="C235" s="14">
        <v>8.2900000000000001E-2</v>
      </c>
      <c r="D235" s="4">
        <v>97496.40419999999</v>
      </c>
      <c r="E235" s="14">
        <v>2.6200000000000001E-2</v>
      </c>
      <c r="F235" s="9">
        <f t="shared" si="4"/>
        <v>156513.61439999999</v>
      </c>
    </row>
    <row r="236" spans="1:6" x14ac:dyDescent="0.2">
      <c r="A236" s="2">
        <v>46257</v>
      </c>
      <c r="B236" s="4">
        <v>50848.7382</v>
      </c>
      <c r="C236" s="14">
        <v>8.2900000000000001E-2</v>
      </c>
      <c r="D236" s="4">
        <v>84002.092199999999</v>
      </c>
      <c r="E236" s="14">
        <v>2.6200000000000001E-2</v>
      </c>
      <c r="F236" s="9">
        <f t="shared" si="4"/>
        <v>134850.83040000001</v>
      </c>
    </row>
    <row r="237" spans="1:6" x14ac:dyDescent="0.2">
      <c r="A237" s="2">
        <v>46258</v>
      </c>
      <c r="B237" s="4">
        <v>65960.411400000012</v>
      </c>
      <c r="C237" s="14">
        <v>8.2900000000000001E-2</v>
      </c>
      <c r="D237" s="4">
        <v>108966.56940000001</v>
      </c>
      <c r="E237" s="14">
        <v>2.6200000000000001E-2</v>
      </c>
      <c r="F237" s="9">
        <f t="shared" si="4"/>
        <v>174926.98080000002</v>
      </c>
    </row>
    <row r="238" spans="1:6" x14ac:dyDescent="0.2">
      <c r="A238" s="2">
        <v>46259</v>
      </c>
      <c r="B238" s="4">
        <v>67798.317599999995</v>
      </c>
      <c r="C238" s="14">
        <v>8.2900000000000001E-2</v>
      </c>
      <c r="D238" s="4">
        <v>112002.7896</v>
      </c>
      <c r="E238" s="14">
        <v>2.6200000000000001E-2</v>
      </c>
      <c r="F238" s="9">
        <f t="shared" si="4"/>
        <v>179801.1072</v>
      </c>
    </row>
    <row r="239" spans="1:6" x14ac:dyDescent="0.2">
      <c r="A239" s="2">
        <v>46260</v>
      </c>
      <c r="B239" s="4">
        <v>70453.071000000011</v>
      </c>
      <c r="C239" s="14">
        <v>8.2900000000000001E-2</v>
      </c>
      <c r="D239" s="4">
        <v>116388.44100000001</v>
      </c>
      <c r="E239" s="14">
        <v>2.6200000000000001E-2</v>
      </c>
      <c r="F239" s="9">
        <f t="shared" si="4"/>
        <v>186841.51200000002</v>
      </c>
    </row>
    <row r="240" spans="1:6" x14ac:dyDescent="0.2">
      <c r="A240" s="2">
        <v>46261</v>
      </c>
      <c r="B240" s="4">
        <v>68206.741200000004</v>
      </c>
      <c r="C240" s="14">
        <v>8.2900000000000001E-2</v>
      </c>
      <c r="D240" s="4">
        <v>112677.5052</v>
      </c>
      <c r="E240" s="14">
        <v>2.6200000000000001E-2</v>
      </c>
      <c r="F240" s="9">
        <f t="shared" si="4"/>
        <v>180884.2464</v>
      </c>
    </row>
    <row r="241" spans="1:6" x14ac:dyDescent="0.2">
      <c r="A241" s="2">
        <v>46262</v>
      </c>
      <c r="B241" s="4">
        <v>65143.564199999993</v>
      </c>
      <c r="C241" s="14">
        <v>8.2900000000000001E-2</v>
      </c>
      <c r="D241" s="4">
        <v>107617.13819999999</v>
      </c>
      <c r="E241" s="14">
        <v>2.6200000000000001E-2</v>
      </c>
      <c r="F241" s="9">
        <f t="shared" si="4"/>
        <v>172760.70239999998</v>
      </c>
    </row>
    <row r="242" spans="1:6" x14ac:dyDescent="0.2">
      <c r="A242" s="2">
        <v>46263</v>
      </c>
      <c r="B242" s="4">
        <v>59017.210199999994</v>
      </c>
      <c r="C242" s="14">
        <v>8.2900000000000001E-2</v>
      </c>
      <c r="D242" s="4">
        <v>97496.40419999999</v>
      </c>
      <c r="E242" s="14">
        <v>2.6200000000000001E-2</v>
      </c>
      <c r="F242" s="9">
        <f t="shared" si="4"/>
        <v>156513.61439999999</v>
      </c>
    </row>
    <row r="243" spans="1:6" x14ac:dyDescent="0.2">
      <c r="A243" s="2">
        <v>46264</v>
      </c>
      <c r="B243" s="4">
        <v>50848.7382</v>
      </c>
      <c r="C243" s="14">
        <v>8.2900000000000001E-2</v>
      </c>
      <c r="D243" s="4">
        <v>84002.092199999999</v>
      </c>
      <c r="E243" s="14">
        <v>2.6200000000000001E-2</v>
      </c>
      <c r="F243" s="9">
        <f t="shared" si="4"/>
        <v>134850.83040000001</v>
      </c>
    </row>
    <row r="244" spans="1:6" x14ac:dyDescent="0.2">
      <c r="A244" s="2">
        <v>46265</v>
      </c>
      <c r="B244" s="4">
        <v>65143.564199999993</v>
      </c>
      <c r="C244" s="14">
        <v>8.2900000000000001E-2</v>
      </c>
      <c r="D244" s="4">
        <v>107617.13819999999</v>
      </c>
      <c r="E244" s="14">
        <v>2.6200000000000001E-2</v>
      </c>
      <c r="F244" s="9">
        <f t="shared" si="4"/>
        <v>172760.70239999998</v>
      </c>
    </row>
    <row r="245" spans="1:6" s="18" customFormat="1" x14ac:dyDescent="0.2">
      <c r="A245" s="15">
        <v>46266</v>
      </c>
      <c r="B245" s="16">
        <v>72473.149466666669</v>
      </c>
      <c r="C245" s="19">
        <v>8.3099999999999993E-2</v>
      </c>
      <c r="D245" s="16">
        <v>107708.50916204976</v>
      </c>
      <c r="E245" s="19">
        <v>2.6599999999999999E-2</v>
      </c>
      <c r="F245" s="20">
        <f t="shared" si="4"/>
        <v>180181.65862871642</v>
      </c>
    </row>
    <row r="246" spans="1:6" x14ac:dyDescent="0.2">
      <c r="A246" s="2">
        <v>46267</v>
      </c>
      <c r="B246" s="4">
        <v>75569.704466666677</v>
      </c>
      <c r="C246" s="14">
        <v>8.3099999999999993E-2</v>
      </c>
      <c r="D246" s="4">
        <v>112310.56281975222</v>
      </c>
      <c r="E246" s="14">
        <v>2.6599999999999999E-2</v>
      </c>
      <c r="F246" s="9">
        <f t="shared" si="4"/>
        <v>187880.26728641888</v>
      </c>
    </row>
    <row r="247" spans="1:6" x14ac:dyDescent="0.2">
      <c r="A247" s="2">
        <v>46268</v>
      </c>
      <c r="B247" s="4">
        <v>73505.334466666667</v>
      </c>
      <c r="C247" s="14">
        <v>8.3099999999999993E-2</v>
      </c>
      <c r="D247" s="4">
        <v>109242.52704795057</v>
      </c>
      <c r="E247" s="14">
        <v>2.6599999999999999E-2</v>
      </c>
      <c r="F247" s="9">
        <f t="shared" si="4"/>
        <v>182747.86151461722</v>
      </c>
    </row>
    <row r="248" spans="1:6" x14ac:dyDescent="0.2">
      <c r="A248" s="2">
        <v>46269</v>
      </c>
      <c r="B248" s="4">
        <v>77840.511466666678</v>
      </c>
      <c r="C248" s="14">
        <v>8.3099999999999993E-2</v>
      </c>
      <c r="D248" s="4">
        <v>115685.40216873404</v>
      </c>
      <c r="E248" s="14">
        <v>2.6599999999999999E-2</v>
      </c>
      <c r="F248" s="9">
        <f t="shared" si="4"/>
        <v>193525.91363540071</v>
      </c>
    </row>
    <row r="249" spans="1:6" x14ac:dyDescent="0.2">
      <c r="A249" s="2">
        <v>46270</v>
      </c>
      <c r="B249" s="4">
        <v>69789.468466666673</v>
      </c>
      <c r="C249" s="14">
        <v>8.3099999999999993E-2</v>
      </c>
      <c r="D249" s="4">
        <v>103720.06265870763</v>
      </c>
      <c r="E249" s="14">
        <v>2.6599999999999999E-2</v>
      </c>
      <c r="F249" s="9">
        <f t="shared" si="4"/>
        <v>173509.53112537431</v>
      </c>
    </row>
    <row r="250" spans="1:6" x14ac:dyDescent="0.2">
      <c r="A250" s="2">
        <v>46271</v>
      </c>
      <c r="B250" s="4">
        <v>59261.181466666676</v>
      </c>
      <c r="C250" s="14">
        <v>8.3099999999999993E-2</v>
      </c>
      <c r="D250" s="4">
        <v>88073.080222519231</v>
      </c>
      <c r="E250" s="14">
        <v>2.6599999999999999E-2</v>
      </c>
      <c r="F250" s="9">
        <f t="shared" si="4"/>
        <v>147334.26168918592</v>
      </c>
    </row>
    <row r="251" spans="1:6" x14ac:dyDescent="0.2">
      <c r="A251" s="2">
        <v>46272</v>
      </c>
      <c r="B251" s="4">
        <v>58848.307466666673</v>
      </c>
      <c r="C251" s="14">
        <v>8.3099999999999993E-2</v>
      </c>
      <c r="D251" s="4">
        <v>87459.473068158899</v>
      </c>
      <c r="E251" s="14">
        <v>2.6599999999999999E-2</v>
      </c>
      <c r="F251" s="9">
        <f t="shared" si="4"/>
        <v>146307.78053482558</v>
      </c>
    </row>
    <row r="252" spans="1:6" x14ac:dyDescent="0.2">
      <c r="A252" s="2">
        <v>46273</v>
      </c>
      <c r="B252" s="4">
        <v>79904.881466666673</v>
      </c>
      <c r="C252" s="14">
        <v>8.3099999999999993E-2</v>
      </c>
      <c r="D252" s="4">
        <v>118753.43794053567</v>
      </c>
      <c r="E252" s="14">
        <v>2.6599999999999999E-2</v>
      </c>
      <c r="F252" s="9">
        <f>SUM(D252,B252)</f>
        <v>198658.31940720236</v>
      </c>
    </row>
    <row r="253" spans="1:6" x14ac:dyDescent="0.2">
      <c r="A253" s="2">
        <v>46274</v>
      </c>
      <c r="B253" s="4">
        <v>77427.637466666667</v>
      </c>
      <c r="C253" s="14">
        <v>8.3099999999999993E-2</v>
      </c>
      <c r="D253" s="4">
        <v>115071.7950143737</v>
      </c>
      <c r="E253" s="14">
        <v>2.6599999999999999E-2</v>
      </c>
      <c r="F253" s="9">
        <f t="shared" si="4"/>
        <v>192499.43248104036</v>
      </c>
    </row>
    <row r="254" spans="1:6" x14ac:dyDescent="0.2">
      <c r="A254" s="2">
        <v>46275</v>
      </c>
      <c r="B254" s="4">
        <v>74950.393466666676</v>
      </c>
      <c r="C254" s="14">
        <v>8.3099999999999993E-2</v>
      </c>
      <c r="D254" s="4">
        <v>111390.15208821172</v>
      </c>
      <c r="E254" s="14">
        <v>2.6599999999999999E-2</v>
      </c>
      <c r="F254" s="9">
        <f t="shared" si="4"/>
        <v>186340.54555487839</v>
      </c>
    </row>
    <row r="255" spans="1:6" x14ac:dyDescent="0.2">
      <c r="A255" s="2">
        <v>46276</v>
      </c>
      <c r="B255" s="4">
        <v>74537.519466666665</v>
      </c>
      <c r="C255" s="14">
        <v>8.3099999999999993E-2</v>
      </c>
      <c r="D255" s="4">
        <v>110776.5449338514</v>
      </c>
      <c r="E255" s="14">
        <v>2.6599999999999999E-2</v>
      </c>
      <c r="F255" s="9">
        <f t="shared" si="4"/>
        <v>185314.06440051808</v>
      </c>
    </row>
    <row r="256" spans="1:6" x14ac:dyDescent="0.2">
      <c r="A256" s="2">
        <v>46277</v>
      </c>
      <c r="B256" s="4">
        <v>65867.165466666687</v>
      </c>
      <c r="C256" s="14">
        <v>8.3099999999999993E-2</v>
      </c>
      <c r="D256" s="4">
        <v>97890.7946922845</v>
      </c>
      <c r="E256" s="14">
        <v>2.6599999999999999E-2</v>
      </c>
      <c r="F256" s="9">
        <f t="shared" si="4"/>
        <v>163757.96015895117</v>
      </c>
    </row>
    <row r="257" spans="1:6" x14ac:dyDescent="0.2">
      <c r="A257" s="2">
        <v>46278</v>
      </c>
      <c r="B257" s="4">
        <v>51210.138466666678</v>
      </c>
      <c r="C257" s="14">
        <v>8.3099999999999993E-2</v>
      </c>
      <c r="D257" s="4">
        <v>76107.740712492814</v>
      </c>
      <c r="E257" s="14">
        <v>2.6599999999999999E-2</v>
      </c>
      <c r="F257" s="9">
        <f t="shared" si="4"/>
        <v>127317.8791791595</v>
      </c>
    </row>
    <row r="258" spans="1:6" x14ac:dyDescent="0.2">
      <c r="A258" s="2">
        <v>46279</v>
      </c>
      <c r="B258" s="4">
        <v>73298.897466666676</v>
      </c>
      <c r="C258" s="14">
        <v>8.3099999999999993E-2</v>
      </c>
      <c r="D258" s="4">
        <v>108935.72347077042</v>
      </c>
      <c r="E258" s="14">
        <v>2.6599999999999999E-2</v>
      </c>
      <c r="F258" s="9">
        <f t="shared" si="4"/>
        <v>182234.62093743711</v>
      </c>
    </row>
    <row r="259" spans="1:6" x14ac:dyDescent="0.2">
      <c r="A259" s="2">
        <v>46280</v>
      </c>
      <c r="B259" s="4">
        <v>74537.519466666665</v>
      </c>
      <c r="C259" s="14">
        <v>8.3099999999999993E-2</v>
      </c>
      <c r="D259" s="4">
        <v>110776.5449338514</v>
      </c>
      <c r="E259" s="14">
        <v>2.6599999999999999E-2</v>
      </c>
      <c r="F259" s="9">
        <f t="shared" si="4"/>
        <v>185314.06440051808</v>
      </c>
    </row>
    <row r="260" spans="1:6" x14ac:dyDescent="0.2">
      <c r="A260" s="2">
        <v>46281</v>
      </c>
      <c r="B260" s="4">
        <v>73092.460466666671</v>
      </c>
      <c r="C260" s="14">
        <v>8.3099999999999993E-2</v>
      </c>
      <c r="D260" s="4">
        <v>108628.91989359025</v>
      </c>
      <c r="E260" s="14">
        <v>2.6599999999999999E-2</v>
      </c>
      <c r="F260" s="9">
        <f t="shared" si="4"/>
        <v>181721.38036025694</v>
      </c>
    </row>
    <row r="261" spans="1:6" x14ac:dyDescent="0.2">
      <c r="A261" s="2">
        <v>46282</v>
      </c>
      <c r="B261" s="4">
        <v>72886.02346666668</v>
      </c>
      <c r="C261" s="14">
        <v>8.3099999999999993E-2</v>
      </c>
      <c r="D261" s="4">
        <v>108322.1163164101</v>
      </c>
      <c r="E261" s="14">
        <v>2.6599999999999999E-2</v>
      </c>
      <c r="F261" s="9">
        <f t="shared" si="4"/>
        <v>181208.13978307677</v>
      </c>
    </row>
    <row r="262" spans="1:6" x14ac:dyDescent="0.2">
      <c r="A262" s="2">
        <v>46283</v>
      </c>
      <c r="B262" s="4">
        <v>72473.149466666669</v>
      </c>
      <c r="C262" s="14">
        <v>8.3099999999999993E-2</v>
      </c>
      <c r="D262" s="4">
        <v>107708.50916204976</v>
      </c>
      <c r="E262" s="14">
        <v>2.6599999999999999E-2</v>
      </c>
      <c r="F262" s="9">
        <f t="shared" si="4"/>
        <v>180181.65862871642</v>
      </c>
    </row>
    <row r="263" spans="1:6" x14ac:dyDescent="0.2">
      <c r="A263" s="2">
        <v>46284</v>
      </c>
      <c r="B263" s="4">
        <v>61944.862466666673</v>
      </c>
      <c r="C263" s="14">
        <v>8.3099999999999993E-2</v>
      </c>
      <c r="D263" s="4">
        <v>92061.526725861375</v>
      </c>
      <c r="E263" s="14">
        <v>2.6599999999999999E-2</v>
      </c>
      <c r="F263" s="9">
        <f t="shared" si="4"/>
        <v>154006.38919252803</v>
      </c>
    </row>
    <row r="264" spans="1:6" x14ac:dyDescent="0.2">
      <c r="A264" s="2">
        <v>46285</v>
      </c>
      <c r="B264" s="4">
        <v>49352.205466666674</v>
      </c>
      <c r="C264" s="14">
        <v>8.3099999999999993E-2</v>
      </c>
      <c r="D264" s="4">
        <v>73346.508517871334</v>
      </c>
      <c r="E264" s="14">
        <v>2.6599999999999999E-2</v>
      </c>
      <c r="F264" s="9">
        <f t="shared" si="4"/>
        <v>122698.71398453802</v>
      </c>
    </row>
    <row r="265" spans="1:6" x14ac:dyDescent="0.2">
      <c r="A265" s="2">
        <v>46286</v>
      </c>
      <c r="B265" s="4">
        <v>69583.031466666667</v>
      </c>
      <c r="C265" s="14">
        <v>8.3099999999999993E-2</v>
      </c>
      <c r="D265" s="4">
        <v>103413.25908152746</v>
      </c>
      <c r="E265" s="14">
        <v>2.6599999999999999E-2</v>
      </c>
      <c r="F265" s="9">
        <f t="shared" si="4"/>
        <v>172996.29054819414</v>
      </c>
    </row>
    <row r="266" spans="1:6" x14ac:dyDescent="0.2">
      <c r="A266" s="2">
        <v>46287</v>
      </c>
      <c r="B266" s="4">
        <v>69995.905466666663</v>
      </c>
      <c r="C266" s="14">
        <v>8.3099999999999993E-2</v>
      </c>
      <c r="D266" s="4">
        <v>104026.86623588778</v>
      </c>
      <c r="E266" s="14">
        <v>2.6599999999999999E-2</v>
      </c>
      <c r="F266" s="9">
        <f t="shared" si="4"/>
        <v>174022.77170255443</v>
      </c>
    </row>
    <row r="267" spans="1:6" x14ac:dyDescent="0.2">
      <c r="A267" s="2">
        <v>46288</v>
      </c>
      <c r="B267" s="4">
        <v>70615.216466666679</v>
      </c>
      <c r="C267" s="14">
        <v>8.3099999999999993E-2</v>
      </c>
      <c r="D267" s="4">
        <v>104947.27696742828</v>
      </c>
      <c r="E267" s="14">
        <v>2.6599999999999999E-2</v>
      </c>
      <c r="F267" s="9">
        <f t="shared" si="4"/>
        <v>175562.49343409494</v>
      </c>
    </row>
    <row r="268" spans="1:6" x14ac:dyDescent="0.2">
      <c r="A268" s="2">
        <v>46289</v>
      </c>
      <c r="B268" s="4">
        <v>71234.527466666681</v>
      </c>
      <c r="C268" s="14">
        <v>8.3099999999999993E-2</v>
      </c>
      <c r="D268" s="4">
        <v>105867.68769896877</v>
      </c>
      <c r="E268" s="14">
        <v>2.6599999999999999E-2</v>
      </c>
      <c r="F268" s="9">
        <f t="shared" si="4"/>
        <v>177102.21516563545</v>
      </c>
    </row>
    <row r="269" spans="1:6" x14ac:dyDescent="0.2">
      <c r="A269" s="2">
        <v>46290</v>
      </c>
      <c r="B269" s="4">
        <v>69376.594466666676</v>
      </c>
      <c r="C269" s="14">
        <v>8.3099999999999993E-2</v>
      </c>
      <c r="D269" s="4">
        <v>103106.45550434731</v>
      </c>
      <c r="E269" s="14">
        <v>2.6599999999999999E-2</v>
      </c>
      <c r="F269" s="9">
        <f t="shared" si="4"/>
        <v>172483.04997101397</v>
      </c>
    </row>
    <row r="270" spans="1:6" x14ac:dyDescent="0.2">
      <c r="A270" s="2">
        <v>46291</v>
      </c>
      <c r="B270" s="4">
        <v>61944.862466666673</v>
      </c>
      <c r="C270" s="14">
        <v>8.3099999999999993E-2</v>
      </c>
      <c r="D270" s="4">
        <v>92061.526725861375</v>
      </c>
      <c r="E270" s="14">
        <v>2.6599999999999999E-2</v>
      </c>
      <c r="F270" s="9">
        <f t="shared" si="4"/>
        <v>154006.38919252803</v>
      </c>
    </row>
    <row r="271" spans="1:6" x14ac:dyDescent="0.2">
      <c r="A271" s="2">
        <v>46292</v>
      </c>
      <c r="B271" s="4">
        <v>50384.390466666671</v>
      </c>
      <c r="C271" s="14">
        <v>8.3099999999999993E-2</v>
      </c>
      <c r="D271" s="4">
        <v>74880.526403772164</v>
      </c>
      <c r="E271" s="14">
        <v>2.6599999999999999E-2</v>
      </c>
      <c r="F271" s="9">
        <f t="shared" si="4"/>
        <v>125264.91687043884</v>
      </c>
    </row>
    <row r="272" spans="1:6" x14ac:dyDescent="0.2">
      <c r="A272" s="2">
        <v>46293</v>
      </c>
      <c r="B272" s="4">
        <v>70821.653466666685</v>
      </c>
      <c r="C272" s="14">
        <v>8.3099999999999993E-2</v>
      </c>
      <c r="D272" s="4">
        <v>105254.08054460846</v>
      </c>
      <c r="E272" s="14">
        <v>2.6599999999999999E-2</v>
      </c>
      <c r="F272" s="9">
        <f t="shared" si="4"/>
        <v>176075.73401127514</v>
      </c>
    </row>
    <row r="273" spans="1:6" x14ac:dyDescent="0.2">
      <c r="A273" s="2">
        <v>46294</v>
      </c>
      <c r="B273" s="4">
        <v>71234.527466666681</v>
      </c>
      <c r="C273" s="14">
        <v>8.3099999999999993E-2</v>
      </c>
      <c r="D273" s="4">
        <v>105867.68769896877</v>
      </c>
      <c r="E273" s="14">
        <v>2.6599999999999999E-2</v>
      </c>
      <c r="F273" s="9">
        <f t="shared" si="4"/>
        <v>177102.21516563545</v>
      </c>
    </row>
    <row r="274" spans="1:6" x14ac:dyDescent="0.2">
      <c r="A274" s="2">
        <v>46295</v>
      </c>
      <c r="B274" s="4">
        <v>70408.779466666674</v>
      </c>
      <c r="C274" s="14">
        <v>8.3099999999999993E-2</v>
      </c>
      <c r="D274" s="4">
        <v>104640.47339024811</v>
      </c>
      <c r="E274" s="14">
        <v>2.6599999999999999E-2</v>
      </c>
      <c r="F274" s="9">
        <f t="shared" si="4"/>
        <v>175049.25285691477</v>
      </c>
    </row>
    <row r="275" spans="1:6" s="18" customFormat="1" x14ac:dyDescent="0.2">
      <c r="A275" s="15">
        <v>46296</v>
      </c>
    </row>
    <row r="276" spans="1:6" x14ac:dyDescent="0.2">
      <c r="A276" s="2">
        <v>46297</v>
      </c>
    </row>
    <row r="277" spans="1:6" x14ac:dyDescent="0.2">
      <c r="A277" s="2">
        <v>46298</v>
      </c>
    </row>
    <row r="278" spans="1:6" x14ac:dyDescent="0.2">
      <c r="A278" s="2">
        <v>46299</v>
      </c>
    </row>
    <row r="279" spans="1:6" x14ac:dyDescent="0.2">
      <c r="A279" s="2">
        <v>46300</v>
      </c>
    </row>
    <row r="280" spans="1:6" x14ac:dyDescent="0.2">
      <c r="A280" s="2">
        <v>46301</v>
      </c>
    </row>
    <row r="281" spans="1:6" x14ac:dyDescent="0.2">
      <c r="A281" s="2">
        <v>46302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92C9D674B9441B386B850737E8BEE" ma:contentTypeVersion="11" ma:contentTypeDescription="Crie um novo documento." ma:contentTypeScope="" ma:versionID="8f126413cfc32c8df2392f0444b69fa2">
  <xsd:schema xmlns:xsd="http://www.w3.org/2001/XMLSchema" xmlns:xs="http://www.w3.org/2001/XMLSchema" xmlns:p="http://schemas.microsoft.com/office/2006/metadata/properties" xmlns:ns2="0b800b5d-199d-4863-8612-6c73f989f897" xmlns:ns3="7b9aa2e8-aa6d-4b61-bb79-426014ca5f4e" targetNamespace="http://schemas.microsoft.com/office/2006/metadata/properties" ma:root="true" ma:fieldsID="c1fbdd3c0bf558502680b3127122e1e7" ns2:_="" ns3:_="">
    <xsd:import namespace="0b800b5d-199d-4863-8612-6c73f989f897"/>
    <xsd:import namespace="7b9aa2e8-aa6d-4b61-bb79-426014ca5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00b5d-199d-4863-8612-6c73f989f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aa2e8-aa6d-4b61-bb79-426014ca5f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d25-cae7-4ddf-a84a-648fb9134777}" ma:internalName="TaxCatchAll" ma:showField="CatchAllData" ma:web="7b9aa2e8-aa6d-4b61-bb79-426014ca5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00b5d-199d-4863-8612-6c73f989f897">
      <Terms xmlns="http://schemas.microsoft.com/office/infopath/2007/PartnerControls"/>
    </lcf76f155ced4ddcb4097134ff3c332f>
    <TaxCatchAll xmlns="7b9aa2e8-aa6d-4b61-bb79-426014ca5f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946574-F18B-466E-8C95-8EDA3374C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00b5d-199d-4863-8612-6c73f989f897"/>
    <ds:schemaRef ds:uri="7b9aa2e8-aa6d-4b61-bb79-426014ca5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CE8DA-4C74-42FF-A66E-39C945170C1C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0b800b5d-199d-4863-8612-6c73f989f897"/>
    <ds:schemaRef ds:uri="http://schemas.microsoft.com/office/infopath/2007/PartnerControls"/>
    <ds:schemaRef ds:uri="http://schemas.openxmlformats.org/package/2006/metadata/core-properties"/>
    <ds:schemaRef ds:uri="7b9aa2e8-aa6d-4b61-bb79-426014ca5f4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D421C42-E17F-4FCB-AA2D-89F742CC99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METAS</vt:lpstr>
      <vt:lpstr>Metas Sessoes e TX conversao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da Silva Alves</cp:lastModifiedBy>
  <cp:revision/>
  <dcterms:created xsi:type="dcterms:W3CDTF">2026-01-21T13:53:54Z</dcterms:created>
  <dcterms:modified xsi:type="dcterms:W3CDTF">2026-09-16T14:54:29Z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0x01010005D92C9D674B9441B386B850737E8BEE</vt:lpwstr>
  </property>
  <property fmtid="{D5CDD505-2E9C-101B-9397-08002B2CF9AE}" pid="3" name="MediaServiceImageTags">
    <vt:lpwstr/>
  </property>
</Properties>
</file>